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Profile" sheetId="1" state="visible" r:id="rId3"/>
    <sheet name="Summary" sheetId="2" state="visible" r:id="rId4"/>
    <sheet name="Numeric Stats" sheetId="3" state="visible" r:id="rId5"/>
    <sheet name="Category Counts" sheetId="4" state="visible" r:id="rId6"/>
    <sheet name="Issues Found" sheetId="5" state="visible" r:id="rId7"/>
  </sheets>
  <definedNames>
    <definedName function="false" hidden="true" localSheetId="0" name="_xlnm._FilterDatabase" vbProcedure="false">'Data Profile'!$A$4:$M$94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<sst xmlns="http://schemas.openxmlformats.org/spreadsheetml/2006/main" count="908" uniqueCount="434">
  <si>
    <t xml:space="preserve">Data Profile – Sicily Airbnb listings (raw file Sicily.csv)</t>
  </si>
  <si>
    <t xml:space="preserve">One row per column of the raw file (90 columns, 56,873 rows). Missing % = Missing Count ÷ total rows (Summary!B4). Min/Max are shown for numeric and date columns; "—" means not applicable. Mean/Median and Most Frequent are static values computed with pandas.</t>
  </si>
  <si>
    <t xml:space="preserve">Column</t>
  </si>
  <si>
    <t xml:space="preserve">Data Type</t>
  </si>
  <si>
    <t xml:space="preserve">Logical Type</t>
  </si>
  <si>
    <t xml:space="preserve">Missing Count</t>
  </si>
  <si>
    <t xml:space="preserve">Missing %</t>
  </si>
  <si>
    <t xml:space="preserve">Unique Values</t>
  </si>
  <si>
    <t xml:space="preserve">Min</t>
  </si>
  <si>
    <t xml:space="preserve">Max</t>
  </si>
  <si>
    <t xml:space="preserve">Mean</t>
  </si>
  <si>
    <t xml:space="preserve">Median</t>
  </si>
  <si>
    <t xml:space="preserve">Most Frequent Value (count)</t>
  </si>
  <si>
    <t xml:space="preserve">Used in Project</t>
  </si>
  <si>
    <t xml:space="preserve">Notes</t>
  </si>
  <si>
    <t xml:space="preserve">id</t>
  </si>
  <si>
    <t xml:space="preserve">int64</t>
  </si>
  <si>
    <t xml:space="preserve">Identifier</t>
  </si>
  <si>
    <t xml:space="preserve">7011</t>
  </si>
  <si>
    <t xml:space="preserve">1719094868989988273</t>
  </si>
  <si>
    <t xml:space="preserve">—</t>
  </si>
  <si>
    <t xml:space="preserve">Yes</t>
  </si>
  <si>
    <t xml:space="preserve">Primary key. All 56,873 values are unique (no duplicate listings).</t>
  </si>
  <si>
    <t xml:space="preserve">listing_url</t>
  </si>
  <si>
    <t xml:space="preserve">object (text)</t>
  </si>
  <si>
    <t xml:space="preserve">URL</t>
  </si>
  <si>
    <t xml:space="preserve">No</t>
  </si>
  <si>
    <t xml:space="preserve">Link; not needed for analysis.</t>
  </si>
  <si>
    <t xml:space="preserve">scrape_id</t>
  </si>
  <si>
    <t xml:space="preserve">20260630203043</t>
  </si>
  <si>
    <t xml:space="preserve">20260630203043 (56,873)</t>
  </si>
  <si>
    <t xml:space="preserve">Constant value for every row: carries no information.</t>
  </si>
  <si>
    <t xml:space="preserve">last_scraped</t>
  </si>
  <si>
    <t xml:space="preserve">Date (stored as text)</t>
  </si>
  <si>
    <t xml:space="preserve">2026-07-01</t>
  </si>
  <si>
    <t xml:space="preserve">2026-07-02</t>
  </si>
  <si>
    <t xml:space="preserve">2026-07-02 (31,312)</t>
  </si>
  <si>
    <t xml:space="preserve">2 scrape dates only.</t>
  </si>
  <si>
    <t xml:space="preserve">source</t>
  </si>
  <si>
    <t xml:space="preserve">Category</t>
  </si>
  <si>
    <t xml:space="preserve">city scrape (52,489)</t>
  </si>
  <si>
    <t xml:space="preserve">name</t>
  </si>
  <si>
    <t xml:space="preserve">Free text</t>
  </si>
  <si>
    <t xml:space="preserve">Appartamento (16)</t>
  </si>
  <si>
    <t xml:space="preserve">description</t>
  </si>
  <si>
    <t xml:space="preserve">Relax with the whole family in this qu… (380)</t>
  </si>
  <si>
    <t xml:space="preserve">neighborhood_overview</t>
  </si>
  <si>
    <t xml:space="preserve">float64</t>
  </si>
  <si>
    <t xml:space="preserve">Empty (100% missing)</t>
  </si>
  <si>
    <t xml:space="preserve">Column is completely empty: no usable information.</t>
  </si>
  <si>
    <t xml:space="preserve">picture_url</t>
  </si>
  <si>
    <t xml:space="preserve">https://a0.muscache.com/pictures/11b0f… (10)</t>
  </si>
  <si>
    <t xml:space="preserve">host_id</t>
  </si>
  <si>
    <t xml:space="preserve">16888</t>
  </si>
  <si>
    <t xml:space="preserve">1718922505592631218</t>
  </si>
  <si>
    <t xml:space="preserve">163663206 (261)</t>
  </si>
  <si>
    <t xml:space="preserve">Host personal / identifying data; not needed for the project.</t>
  </si>
  <si>
    <t xml:space="preserve">host_url</t>
  </si>
  <si>
    <t xml:space="preserve">https://www.airbnb.com/users/show/1636… (261)</t>
  </si>
  <si>
    <t xml:space="preserve">host_profile_id</t>
  </si>
  <si>
    <t xml:space="preserve">1462506838956998124</t>
  </si>
  <si>
    <t xml:space="preserve">1718923122560484499</t>
  </si>
  <si>
    <t xml:space="preserve">1467872683076742628 (261)</t>
  </si>
  <si>
    <t xml:space="preserve">host_profile_url</t>
  </si>
  <si>
    <t xml:space="preserve">https://www.airbnb.com/users/profile/1… (261)</t>
  </si>
  <si>
    <t xml:space="preserve">host_name</t>
  </si>
  <si>
    <t xml:space="preserve">Giuseppe (1,801)</t>
  </si>
  <si>
    <t xml:space="preserve">host_since</t>
  </si>
  <si>
    <t xml:space="preserve">hosts_time_as_user_years</t>
  </si>
  <si>
    <t xml:space="preserve">Numeric (integer)</t>
  </si>
  <si>
    <t xml:space="preserve">10 (5,108)</t>
  </si>
  <si>
    <t xml:space="preserve">hosts_time_as_user_months</t>
  </si>
  <si>
    <t xml:space="preserve">11 (6,748)</t>
  </si>
  <si>
    <t xml:space="preserve">hosts_time_as_host_years</t>
  </si>
  <si>
    <t xml:space="preserve">2.0 (6,283)</t>
  </si>
  <si>
    <t xml:space="preserve">hosts_time_as_host_months</t>
  </si>
  <si>
    <t xml:space="preserve">1.0 (7,311)</t>
  </si>
  <si>
    <t xml:space="preserve">host_location</t>
  </si>
  <si>
    <t xml:space="preserve">Palermo, Italy (5,991)</t>
  </si>
  <si>
    <t xml:space="preserve">host_about</t>
  </si>
  <si>
    <t xml:space="preserve">At Holidu, we're on a mission to make … (1,357)</t>
  </si>
  <si>
    <t xml:space="preserve">host_response_time</t>
  </si>
  <si>
    <t xml:space="preserve">host_response_rate</t>
  </si>
  <si>
    <t xml:space="preserve">host_acceptance_rate</t>
  </si>
  <si>
    <t xml:space="preserve">host_is_superhost</t>
  </si>
  <si>
    <t xml:space="preserve">Boolean (t/f as text)</t>
  </si>
  <si>
    <t xml:space="preserve">f (42,675)</t>
  </si>
  <si>
    <t xml:space="preserve">Evaluative label about a host (t/f). Excluded: project does not profile hosts.</t>
  </si>
  <si>
    <t xml:space="preserve">host_thumbnail_url</t>
  </si>
  <si>
    <t xml:space="preserve">host_picture_url</t>
  </si>
  <si>
    <t xml:space="preserve">https://a0.muscache.com/im/pictures/us… (261)</t>
  </si>
  <si>
    <t xml:space="preserve">host_neighbourhood</t>
  </si>
  <si>
    <t xml:space="preserve">host_listings_count</t>
  </si>
  <si>
    <t xml:space="preserve">1 (18,020)</t>
  </si>
  <si>
    <t xml:space="preserve">host_total_listings_count</t>
  </si>
  <si>
    <t xml:space="preserve">host_verifications</t>
  </si>
  <si>
    <t xml:space="preserve">host_has_profile_pic</t>
  </si>
  <si>
    <t xml:space="preserve">t (50,995)</t>
  </si>
  <si>
    <t xml:space="preserve">Values t / f stored as text.</t>
  </si>
  <si>
    <t xml:space="preserve">host_identity_verified</t>
  </si>
  <si>
    <t xml:space="preserve">t (56,192)</t>
  </si>
  <si>
    <t xml:space="preserve">neighbourhood</t>
  </si>
  <si>
    <t xml:space="preserve">neighbourhood_cleansed</t>
  </si>
  <si>
    <t xml:space="preserve">Palermo (7,810)</t>
  </si>
  <si>
    <t xml:space="preserve">372 areas. Name "Cefal" is truncated in the source file (probably Cefalù).</t>
  </si>
  <si>
    <t xml:space="preserve">neighbourhood_group_cleansed</t>
  </si>
  <si>
    <t xml:space="preserve">latitude</t>
  </si>
  <si>
    <t xml:space="preserve">Numeric (decimal)</t>
  </si>
  <si>
    <t xml:space="preserve">37.8674177 (23)</t>
  </si>
  <si>
    <t xml:space="preserve">Range 35.49 to 38.81; consistent with Sicily and its islands (Lampedusa ≈ 35.5).</t>
  </si>
  <si>
    <t xml:space="preserve">longitude</t>
  </si>
  <si>
    <t xml:space="preserve">12.5196222 (23)</t>
  </si>
  <si>
    <t xml:space="preserve">Range 11.93 to 15.65; consistent with Sicily and its islands.</t>
  </si>
  <si>
    <t xml:space="preserve">property_type</t>
  </si>
  <si>
    <t xml:space="preserve">Entire rental unit (18,564)</t>
  </si>
  <si>
    <t xml:space="preserve">99 values; top 10 cover most listings.</t>
  </si>
  <si>
    <t xml:space="preserve">room_type</t>
  </si>
  <si>
    <t xml:space="preserve">Entire home/apt (45,363)</t>
  </si>
  <si>
    <t xml:space="preserve">4 values: Entire home/apt, Private room, Hotel room, Shared room.</t>
  </si>
  <si>
    <t xml:space="preserve">accommodates</t>
  </si>
  <si>
    <t xml:space="preserve">4 (17,838)</t>
  </si>
  <si>
    <t xml:space="preserve">Number of guests. Used to compute price per guest = price / accommodates.</t>
  </si>
  <si>
    <t xml:space="preserve">bathrooms</t>
  </si>
  <si>
    <t xml:space="preserve">1.0 (33,840)</t>
  </si>
  <si>
    <t xml:space="preserve">Numeric version already in the file but has far more gaps (8,847) than bathrooms_text (63).</t>
  </si>
  <si>
    <t xml:space="preserve">bathrooms_text</t>
  </si>
  <si>
    <t xml:space="preserve">1 bath (30,996)</t>
  </si>
  <si>
    <t xml:space="preserve">Text such as "1 shared bath". 168 values have no number ("Half-bath", "Shared half-bath"...).</t>
  </si>
  <si>
    <t xml:space="preserve">bedrooms</t>
  </si>
  <si>
    <t xml:space="preserve">1.0 (22,367)</t>
  </si>
  <si>
    <t xml:space="preserve">15.0% missing; cannot be inferred from other columns.</t>
  </si>
  <si>
    <t xml:space="preserve">beds</t>
  </si>
  <si>
    <t xml:space="preserve">2.0 (14,637)</t>
  </si>
  <si>
    <t xml:space="preserve">12.0% missing.</t>
  </si>
  <si>
    <t xml:space="preserve">amenities</t>
  </si>
  <si>
    <t xml:space="preserve">List (stored as text)</t>
  </si>
  <si>
    <t xml:space="preserve">List stored as one text string (JSON-like); needs json.loads to count items. No missing values; 49 are empty lists (44 after dropping rows without a price).</t>
  </si>
  <si>
    <t xml:space="preserve">price</t>
  </si>
  <si>
    <t xml:space="preserve">Currency (stored as text)</t>
  </si>
  <si>
    <t xml:space="preserve">$80.00 (427)</t>
  </si>
  <si>
    <t xml:space="preserve">Stored as TEXT with $ and commas (e.g. "$1,250.00"); must be converted to a number. Min/Max shown after parsing. Extremes: max 88,494.55, min 2.02.</t>
  </si>
  <si>
    <t xml:space="preserve">price_quote_checkin_date</t>
  </si>
  <si>
    <t xml:space="preserve">2027-07-01</t>
  </si>
  <si>
    <t xml:space="preserve">2026-07-02 (10,881)</t>
  </si>
  <si>
    <t xml:space="preserve">Date stored as text; parse with pd.to_datetime if needed.</t>
  </si>
  <si>
    <t xml:space="preserve">price_quote_checkout_date</t>
  </si>
  <si>
    <t xml:space="preserve">2027-07-02</t>
  </si>
  <si>
    <t xml:space="preserve">2026-07-03 (5,528)</t>
  </si>
  <si>
    <t xml:space="preserve">price_quote_total_price</t>
  </si>
  <si>
    <t xml:space="preserve">160.0 (258)</t>
  </si>
  <si>
    <t xml:space="preserve">price_quote_price_per_night</t>
  </si>
  <si>
    <t xml:space="preserve">80.0 (427)</t>
  </si>
  <si>
    <t xml:space="preserve">Quote for one sample stay; has 1 more missing value than price.</t>
  </si>
  <si>
    <t xml:space="preserve">price_quote_raw</t>
  </si>
  <si>
    <t xml:space="preserve">JSON (stored as text)</t>
  </si>
  <si>
    <t xml:space="preserve">Raw JSON of a price quote; not needed for the price comparison.</t>
  </si>
  <si>
    <t xml:space="preserve">minimum_nights</t>
  </si>
  <si>
    <t xml:space="preserve">1.0 (23,976)</t>
  </si>
  <si>
    <t xml:space="preserve">4 listings above 365 nights (long stays, not short-term rentals). 1 value missing.</t>
  </si>
  <si>
    <t xml:space="preserve">maximum_nights</t>
  </si>
  <si>
    <t xml:space="preserve">1125.0 (20,765)</t>
  </si>
  <si>
    <t xml:space="preserve">minimum_minimum_nights</t>
  </si>
  <si>
    <t xml:space="preserve">maximum_minimum_nights</t>
  </si>
  <si>
    <t xml:space="preserve">2.0 (12,649)</t>
  </si>
  <si>
    <t xml:space="preserve">minimum_maximum_nights</t>
  </si>
  <si>
    <t xml:space="preserve">1125.0 (18,182)</t>
  </si>
  <si>
    <t xml:space="preserve">maximum_maximum_nights</t>
  </si>
  <si>
    <t xml:space="preserve">minimum_nights_avg_ntm</t>
  </si>
  <si>
    <t xml:space="preserve">1.0 (12,432)</t>
  </si>
  <si>
    <t xml:space="preserve">maximum_nights_avg_ntm</t>
  </si>
  <si>
    <t xml:space="preserve">calendar_updated</t>
  </si>
  <si>
    <t xml:space="preserve">has_availability</t>
  </si>
  <si>
    <t xml:space="preserve">t (53,609)</t>
  </si>
  <si>
    <t xml:space="preserve">availability_30</t>
  </si>
  <si>
    <t xml:space="preserve">0 (7,796)</t>
  </si>
  <si>
    <t xml:space="preserve">availability_60</t>
  </si>
  <si>
    <t xml:space="preserve">0 (5,704)</t>
  </si>
  <si>
    <t xml:space="preserve">availability_90</t>
  </si>
  <si>
    <t xml:space="preserve">0 (4,274)</t>
  </si>
  <si>
    <t xml:space="preserve">availability_365</t>
  </si>
  <si>
    <t xml:space="preserve">365 (2,990)</t>
  </si>
  <si>
    <t xml:space="preserve">calendar_last_scraped</t>
  </si>
  <si>
    <t xml:space="preserve">2026-07-02 (31,309)</t>
  </si>
  <si>
    <t xml:space="preserve">number_of_reviews</t>
  </si>
  <si>
    <t xml:space="preserve">0 (16,501)</t>
  </si>
  <si>
    <t xml:space="preserve">16,501 listings (29.0%) have 0 reviews.</t>
  </si>
  <si>
    <t xml:space="preserve">number_of_reviews_ltm</t>
  </si>
  <si>
    <t xml:space="preserve">0 (28,036)</t>
  </si>
  <si>
    <t xml:space="preserve">number_of_reviews_l30d</t>
  </si>
  <si>
    <t xml:space="preserve">0 (42,792)</t>
  </si>
  <si>
    <t xml:space="preserve">availability_eoy</t>
  </si>
  <si>
    <t xml:space="preserve">183 (3,687)</t>
  </si>
  <si>
    <t xml:space="preserve">number_of_reviews_ly</t>
  </si>
  <si>
    <t xml:space="preserve">0 (30,378)</t>
  </si>
  <si>
    <t xml:space="preserve">estimated_occupancy_l365d</t>
  </si>
  <si>
    <t xml:space="preserve">estimated_revenue_l365d</t>
  </si>
  <si>
    <t xml:space="preserve">0.0 (24,340)</t>
  </si>
  <si>
    <t xml:space="preserve">Missing for the same 5,009 listings that have no price.</t>
  </si>
  <si>
    <t xml:space="preserve">first_review</t>
  </si>
  <si>
    <t xml:space="preserve">2009-08-26</t>
  </si>
  <si>
    <t xml:space="preserve">2025-08-16 (113)</t>
  </si>
  <si>
    <t xml:space="preserve">last_review</t>
  </si>
  <si>
    <t xml:space="preserve">2012-05-09</t>
  </si>
  <si>
    <t xml:space="preserve">2026-06-27 (832)</t>
  </si>
  <si>
    <t xml:space="preserve">review_scores_rating</t>
  </si>
  <si>
    <t xml:space="preserve">5.0 (13,413)</t>
  </si>
  <si>
    <t xml:space="preserve">Missing exactly where the listing has no reviews (16,501 listings with number_of_reviews = 0). 2 listings have an invalid rating of 0.0 (ids 1084850, 1322855); scale is 1–5.</t>
  </si>
  <si>
    <t xml:space="preserve">review_scores_accuracy</t>
  </si>
  <si>
    <t xml:space="preserve">5.0 (13,908)</t>
  </si>
  <si>
    <t xml:space="preserve">review_scores_cleanliness</t>
  </si>
  <si>
    <t xml:space="preserve">5.0 (15,756)</t>
  </si>
  <si>
    <t xml:space="preserve">review_scores_checkin</t>
  </si>
  <si>
    <t xml:space="preserve">5.0 (17,076)</t>
  </si>
  <si>
    <t xml:space="preserve">review_scores_communication</t>
  </si>
  <si>
    <t xml:space="preserve">5.0 (18,697)</t>
  </si>
  <si>
    <t xml:space="preserve">review_scores_location</t>
  </si>
  <si>
    <t xml:space="preserve">5.0 (11,810)</t>
  </si>
  <si>
    <t xml:space="preserve">review_scores_value</t>
  </si>
  <si>
    <t xml:space="preserve">5.0 (10,724)</t>
  </si>
  <si>
    <t xml:space="preserve">license</t>
  </si>
  <si>
    <t xml:space="preserve">I applied for a CIN, but haven’t recei… (816)</t>
  </si>
  <si>
    <t xml:space="preserve">instant_bookable</t>
  </si>
  <si>
    <t xml:space="preserve">calculated_host_listings_count</t>
  </si>
  <si>
    <t xml:space="preserve">1 (19,439)</t>
  </si>
  <si>
    <t xml:space="preserve">calculated_host_listings_count_entire_homes</t>
  </si>
  <si>
    <t xml:space="preserve">1 (21,057)</t>
  </si>
  <si>
    <t xml:space="preserve">calculated_host_listings_count_private_rooms</t>
  </si>
  <si>
    <t xml:space="preserve">0 (39,916)</t>
  </si>
  <si>
    <t xml:space="preserve">calculated_host_listings_count_shared_rooms</t>
  </si>
  <si>
    <t xml:space="preserve">0 (56,651)</t>
  </si>
  <si>
    <t xml:space="preserve">reviews_per_month</t>
  </si>
  <si>
    <t xml:space="preserve">0.04 (1,438)</t>
  </si>
  <si>
    <t xml:space="preserve">Legend</t>
  </si>
  <si>
    <t xml:space="preserve">Missing % ≥ 50%</t>
  </si>
  <si>
    <t xml:space="preserve">Missing % 10%–50%</t>
  </si>
  <si>
    <t xml:space="preserve">Used in Project = Yes</t>
  </si>
  <si>
    <t xml:space="preserve">Used in Project = the 14 columns kept in the cleaning log (column selection).</t>
  </si>
  <si>
    <t xml:space="preserve">Dataset summary</t>
  </si>
  <si>
    <t xml:space="preserve">Metric</t>
  </si>
  <si>
    <t xml:space="preserve">Value</t>
  </si>
  <si>
    <t xml:space="preserve">How it is obtained</t>
  </si>
  <si>
    <t xml:space="preserve">Total rows (listings)</t>
  </si>
  <si>
    <t xml:space="preserve">Input: row count of Sicily.csv (counted with pandas).</t>
  </si>
  <si>
    <t xml:space="preserve">Total columns</t>
  </si>
  <si>
    <t xml:space="preserve">Number of rows in the Data Profile sheet.</t>
  </si>
  <si>
    <t xml:space="preserve">Columns used in the project</t>
  </si>
  <si>
    <t xml:space="preserve">Column selection in the cleaning log (14 of 90).</t>
  </si>
  <si>
    <t xml:space="preserve">Columns completely empty (100% missing)</t>
  </si>
  <si>
    <t xml:space="preserve">Missing % = 100%.</t>
  </si>
  <si>
    <t xml:space="preserve">Columns with more than 50% missing</t>
  </si>
  <si>
    <t xml:space="preserve">Includes the completely empty columns.</t>
  </si>
  <si>
    <t xml:space="preserve">Columns with 10%–50% missing</t>
  </si>
  <si>
    <t xml:space="preserve">Between 10% and 50% inclusive.</t>
  </si>
  <si>
    <t xml:space="preserve">Columns with no missing values</t>
  </si>
  <si>
    <t xml:space="preserve">Missing count = 0.</t>
  </si>
  <si>
    <t xml:space="preserve">Constant columns (1 unique value)</t>
  </si>
  <si>
    <t xml:space="preserve">Same value in every row: no information.</t>
  </si>
  <si>
    <t xml:space="preserve">Numeric columns (int64 + float64)</t>
  </si>
  <si>
    <t xml:space="preserve">Data Type = int64 or float64 (includes completely empty ones, which pandas reads as float64).</t>
  </si>
  <si>
    <t xml:space="preserve">Text columns (object)</t>
  </si>
  <si>
    <t xml:space="preserve">Data Type = object (text).</t>
  </si>
  <si>
    <t xml:space="preserve">Total missing cells</t>
  </si>
  <si>
    <t xml:space="preserve">Sum of Missing Count.</t>
  </si>
  <si>
    <t xml:space="preserve">Total cells</t>
  </si>
  <si>
    <t xml:space="preserve">Rows × columns.</t>
  </si>
  <si>
    <t xml:space="preserve">Overall missing %</t>
  </si>
  <si>
    <t xml:space="preserve">Missing cells ÷ total cells.</t>
  </si>
  <si>
    <t xml:space="preserve">Duplicate listing ids</t>
  </si>
  <si>
    <t xml:space="preserve">Input: counted with pandas (id.duplicated().sum()).</t>
  </si>
  <si>
    <t xml:space="preserve">Fully duplicated rows</t>
  </si>
  <si>
    <t xml:space="preserve">Input: counted with pandas (df.duplicated().sum()).</t>
  </si>
  <si>
    <t xml:space="preserve">Listings with a price</t>
  </si>
  <si>
    <t xml:space="preserve">Input: counted after converting price text to number.</t>
  </si>
  <si>
    <t xml:space="preserve">Listings without a price (missing)</t>
  </si>
  <si>
    <t xml:space="preserve">Rows − listings with a price.</t>
  </si>
  <si>
    <t xml:space="preserve">Share of listings without a price</t>
  </si>
  <si>
    <t xml:space="preserve">Missing price ÷ total rows.</t>
  </si>
  <si>
    <t xml:space="preserve">Listings with 0 reviews</t>
  </si>
  <si>
    <t xml:space="preserve">Input: counted with pandas (number_of_reviews == 0).</t>
  </si>
  <si>
    <t xml:space="preserve">Share of listings with 0 reviews</t>
  </si>
  <si>
    <t xml:space="preserve">Latitude range</t>
  </si>
  <si>
    <t xml:space="preserve">35.49 to 38.81</t>
  </si>
  <si>
    <t xml:space="preserve">Input: min/max of latitude.</t>
  </si>
  <si>
    <t xml:space="preserve">Longitude range</t>
  </si>
  <si>
    <t xml:space="preserve">11.93 to 15.65</t>
  </si>
  <si>
    <t xml:space="preserve">Input: min/max of longitude.</t>
  </si>
  <si>
    <t xml:space="preserve">Scrape dates (last_scraped)</t>
  </si>
  <si>
    <t xml:space="preserve">2026-07-01 / 2026-07-02</t>
  </si>
  <si>
    <t xml:space="preserve">Input: unique values of last_scraped.</t>
  </si>
  <si>
    <t xml:space="preserve">Blue = input typed from pandas results; black = formula over the Data Profile sheet.</t>
  </si>
  <si>
    <t xml:space="preserve">Descriptive statistics of numeric columns (non-empty, identifiers excluded)</t>
  </si>
  <si>
    <t xml:space="preserve">Count (non-missing)</t>
  </si>
  <si>
    <t xml:space="preserve">Std</t>
  </si>
  <si>
    <t xml:space="preserve">25%</t>
  </si>
  <si>
    <t xml:space="preserve">Median (50%)</t>
  </si>
  <si>
    <t xml:space="preserve">75%</t>
  </si>
  <si>
    <t xml:space="preserve">price (parsed from text)</t>
  </si>
  <si>
    <t xml:space="preserve">Static values computed with pandas describe().</t>
  </si>
  <si>
    <t xml:space="preserve">Frequency of the main categorical columns</t>
  </si>
  <si>
    <t xml:space="preserve">Count</t>
  </si>
  <si>
    <t xml:space="preserve">% of all listings</t>
  </si>
  <si>
    <t xml:space="preserve">Entire home/apt</t>
  </si>
  <si>
    <t xml:space="preserve">Private room</t>
  </si>
  <si>
    <t xml:space="preserve">Hotel room</t>
  </si>
  <si>
    <t xml:space="preserve">Shared room</t>
  </si>
  <si>
    <t xml:space="preserve">Entire rental unit</t>
  </si>
  <si>
    <t xml:space="preserve">Entire home</t>
  </si>
  <si>
    <t xml:space="preserve">Private room in bed and breakfast</t>
  </si>
  <si>
    <t xml:space="preserve">Entire condo</t>
  </si>
  <si>
    <t xml:space="preserve">Entire villa</t>
  </si>
  <si>
    <t xml:space="preserve">Entire vacation home</t>
  </si>
  <si>
    <t xml:space="preserve">Private room in rental unit</t>
  </si>
  <si>
    <t xml:space="preserve">Private room in home</t>
  </si>
  <si>
    <t xml:space="preserve">Private room in condo</t>
  </si>
  <si>
    <t xml:space="preserve">Entire townhouse</t>
  </si>
  <si>
    <t xml:space="preserve">Room in hotel</t>
  </si>
  <si>
    <t xml:space="preserve">Entire loft</t>
  </si>
  <si>
    <t xml:space="preserve">Private room in vacation home</t>
  </si>
  <si>
    <t xml:space="preserve">Tiny home</t>
  </si>
  <si>
    <t xml:space="preserve">Dammuso</t>
  </si>
  <si>
    <t xml:space="preserve">Palermo</t>
  </si>
  <si>
    <t xml:space="preserve">Catania</t>
  </si>
  <si>
    <t xml:space="preserve">Siracusa</t>
  </si>
  <si>
    <t xml:space="preserve">Noto</t>
  </si>
  <si>
    <t xml:space="preserve">Castellammare del Golfo</t>
  </si>
  <si>
    <t xml:space="preserve">San Vito Lo Capo</t>
  </si>
  <si>
    <t xml:space="preserve">Ragusa</t>
  </si>
  <si>
    <t xml:space="preserve">Taormina</t>
  </si>
  <si>
    <t xml:space="preserve">Marsala</t>
  </si>
  <si>
    <t xml:space="preserve">Trapani</t>
  </si>
  <si>
    <t xml:space="preserve">Lipari</t>
  </si>
  <si>
    <t xml:space="preserve">Agrigento</t>
  </si>
  <si>
    <t xml:space="preserve">Cefal</t>
  </si>
  <si>
    <t xml:space="preserve">Avola</t>
  </si>
  <si>
    <t xml:space="preserve">Giardini-Naxos</t>
  </si>
  <si>
    <t xml:space="preserve">city scrape</t>
  </si>
  <si>
    <t xml:space="preserve">previous scrape</t>
  </si>
  <si>
    <t xml:space="preserve">property_type and neighbourhood_cleansed show only the 15 most frequent values (99 and 372 values in total).</t>
  </si>
  <si>
    <t xml:space="preserve">Data quality issues found while profiling</t>
  </si>
  <si>
    <t xml:space="preserve">#</t>
  </si>
  <si>
    <t xml:space="preserve">Area</t>
  </si>
  <si>
    <t xml:space="preserve">Finding</t>
  </si>
  <si>
    <t xml:space="preserve">Evidence</t>
  </si>
  <si>
    <t xml:space="preserve">Why it matters</t>
  </si>
  <si>
    <t xml:space="preserve">Suggested handling</t>
  </si>
  <si>
    <t xml:space="preserve">Where handled in cleaning log</t>
  </si>
  <si>
    <t xml:space="preserve">Structure</t>
  </si>
  <si>
    <t xml:space="preserve">13 columns are completely empty</t>
  </si>
  <si>
    <t xml:space="preserve">neighborhood_overview, host_since, host_response_time, host_response_rate, host_acceptance_rate, host_thumbnail_url, host_neighbourhood, host_total_listings_count, host_verifications, neighbourhood, neighbourhood_group_cleansed, calendar_updated, instant_bookable</t>
  </si>
  <si>
    <t xml:space="preserve">No information; waste space and can mislead summaries.</t>
  </si>
  <si>
    <t xml:space="preserve">Exclude from the working dataset.</t>
  </si>
  <si>
    <t xml:space="preserve">Column selection (A–C)</t>
  </si>
  <si>
    <t xml:space="preserve">1 constant column</t>
  </si>
  <si>
    <t xml:space="preserve">Same value in every row.</t>
  </si>
  <si>
    <t xml:space="preserve">Exclude.</t>
  </si>
  <si>
    <t xml:space="preserve">Column selection (C)</t>
  </si>
  <si>
    <t xml:space="preserve">Privacy</t>
  </si>
  <si>
    <t xml:space="preserve">Host-identifying and host-evaluating columns</t>
  </si>
  <si>
    <t xml:space="preserve">host_id, host_name, host_url, host_picture_url, host_about, host_is_superhost…</t>
  </si>
  <si>
    <t xml:space="preserve">Personal data not needed for a price study.</t>
  </si>
  <si>
    <t xml:space="preserve">Column selection (A, B)</t>
  </si>
  <si>
    <t xml:space="preserve">Price</t>
  </si>
  <si>
    <t xml:space="preserve">price is stored as text with $ and commas</t>
  </si>
  <si>
    <t xml:space="preserve">Example: "$262.00"</t>
  </si>
  <si>
    <t xml:space="preserve">Cannot compute averages or compare as text.</t>
  </si>
  <si>
    <t xml:space="preserve">Remove $ and commas, convert to float.</t>
  </si>
  <si>
    <t xml:space="preserve">Step 2</t>
  </si>
  <si>
    <t xml:space="preserve">5,009 listings have no price (8.8%)</t>
  </si>
  <si>
    <t xml:space="preserve">Also missing: estimated_revenue_l365d (5,009)</t>
  </si>
  <si>
    <t xml:space="preserve">A listing without a price cannot be compared.</t>
  </si>
  <si>
    <t xml:space="preserve">Remove these rows.</t>
  </si>
  <si>
    <t xml:space="preserve">Step 3</t>
  </si>
  <si>
    <t xml:space="preserve">Extreme prices</t>
  </si>
  <si>
    <t xml:space="preserve">max 88,494.55 USD per night, min 2.02; price per guest up to 61,161</t>
  </si>
  <si>
    <t xml:space="preserve">Likely data-entry errors or special listings; distort averages.</t>
  </si>
  <si>
    <t xml:space="preserve">Flag with IQR rules instead of deleting.</t>
  </si>
  <si>
    <t xml:space="preserve">Steps 12–14</t>
  </si>
  <si>
    <t xml:space="preserve">Bathrooms</t>
  </si>
  <si>
    <t xml:space="preserve">bathrooms_text is text; numeric bathrooms has many gaps</t>
  </si>
  <si>
    <t xml:space="preserve">bathrooms missing 8,847 vs bathrooms_text missing 63; 168 values without a number (half-baths)</t>
  </si>
  <si>
    <t xml:space="preserve">Need a usable number of bathrooms.</t>
  </si>
  <si>
    <t xml:space="preserve">Extract number from text; half-bath = 0.5.</t>
  </si>
  <si>
    <t xml:space="preserve">Step 4</t>
  </si>
  <si>
    <t xml:space="preserve">Amenities</t>
  </si>
  <si>
    <t xml:space="preserve">amenities is one text string holding a list</t>
  </si>
  <si>
    <t xml:space="preserve">Example: ["Hair dryer", "Coffee maker", …]</t>
  </si>
  <si>
    <t xml:space="preserve">Cannot analyse directly.</t>
  </si>
  <si>
    <t xml:space="preserve">Parse with json.loads and count items.</t>
  </si>
  <si>
    <t xml:space="preserve">Step 5</t>
  </si>
  <si>
    <t xml:space="preserve">Missing</t>
  </si>
  <si>
    <t xml:space="preserve">bedrooms missing in 8,513 listings (15.0%)</t>
  </si>
  <si>
    <t xml:space="preserve">beds missing 6,829</t>
  </si>
  <si>
    <t xml:space="preserve">Many rows would be lost if removed; value cannot be inferred.</t>
  </si>
  <si>
    <t xml:space="preserve">Keep as NaN; exclude explicitly in size-based comparisons.</t>
  </si>
  <si>
    <t xml:space="preserve">Step 6</t>
  </si>
  <si>
    <t xml:space="preserve">Reviews</t>
  </si>
  <si>
    <t xml:space="preserve">16,501 listings have no rating (29.0%)</t>
  </si>
  <si>
    <t xml:space="preserve">Exactly the listings with 0 reviews (16,501); every listing with at least one review has a rating</t>
  </si>
  <si>
    <t xml:space="preserve">A missing rating means "not rated yet", not a bad rating.</t>
  </si>
  <si>
    <t xml:space="preserve">Keep as NaN; never fill with 0.</t>
  </si>
  <si>
    <t xml:space="preserve">Step 8</t>
  </si>
  <si>
    <t xml:space="preserve">Invalid ratings</t>
  </si>
  <si>
    <t xml:space="preserve">2 listings with rating 0.0 (ids 1084850, 1322855); scale is 1–5</t>
  </si>
  <si>
    <t xml:space="preserve">Out-of-range values.</t>
  </si>
  <si>
    <t xml:space="preserve">Set to NaN.</t>
  </si>
  <si>
    <t xml:space="preserve">Step 7</t>
  </si>
  <si>
    <t xml:space="preserve">Stay rules</t>
  </si>
  <si>
    <t xml:space="preserve">Very long minimum stays</t>
  </si>
  <si>
    <t xml:space="preserve">4 listings with minimum_nights &gt; 365 (max 1124); 1 missing</t>
  </si>
  <si>
    <t xml:space="preserve">Not short-term rentals; price not comparable.</t>
  </si>
  <si>
    <t xml:space="preserve">Add a flag column.</t>
  </si>
  <si>
    <t xml:space="preserve">Steps 9–10</t>
  </si>
  <si>
    <t xml:space="preserve">Location</t>
  </si>
  <si>
    <t xml:space="preserve">Coordinates inside the expected range</t>
  </si>
  <si>
    <t xml:space="preserve">lat 35.49–38.81, lon 11.93–15.65</t>
  </si>
  <si>
    <t xml:space="preserve">Checks that all listings belong to Sicily and its islands.</t>
  </si>
  <si>
    <t xml:space="preserve">No action needed.</t>
  </si>
  <si>
    <t xml:space="preserve">Step 11</t>
  </si>
  <si>
    <t xml:space="preserve">Truncated area name</t>
  </si>
  <si>
    <t xml:space="preserve">neighbourhood_cleansed contains "Cefal" (probably Cefalù)</t>
  </si>
  <si>
    <t xml:space="preserve">Name is cut in the source; area-level tables show "Cefal".</t>
  </si>
  <si>
    <t xml:space="preserve">Report to data owner; not changed.</t>
  </si>
  <si>
    <t xml:space="preserve">Not covered</t>
  </si>
  <si>
    <t xml:space="preserve">Types</t>
  </si>
  <si>
    <t xml:space="preserve">Dates and booleans stored as text</t>
  </si>
  <si>
    <t xml:space="preserve">first_review, last_review, last_scraped… (text); host_is_superhost, has_availability… (t/f)</t>
  </si>
  <si>
    <t xml:space="preserve">Must be converted before date or logical operations.</t>
  </si>
  <si>
    <t xml:space="preserve">Convert only if the column is used.</t>
  </si>
  <si>
    <t xml:space="preserve">Not needed (columns excluded)</t>
  </si>
  <si>
    <t xml:space="preserve">Duplicates</t>
  </si>
  <si>
    <t xml:space="preserve">No duplicate listings</t>
  </si>
  <si>
    <t xml:space="preserve">Duplicate ids: 0; fully duplicated rows: 0</t>
  </si>
  <si>
    <t xml:space="preserve">Duplicates would be counted twice.</t>
  </si>
  <si>
    <t xml:space="preserve">Step 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</si>
</sst>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F4EA"/>
        <bgColor rgb="FFF3F6FB"/>
      </patternFill>
    </fill>
    <fill>
      <patternFill patternType="solid">
        <fgColor rgb="FFF3F6FB"/>
        <bgColor rgb="FFE7F4EA"/>
      </patternFill>
    </fill>
    <fill>
      <patternFill patternType="solid">
        <fgColor rgb="FFF8D7DA"/>
        <bgColor rgb="FFFFF4D6"/>
      </patternFill>
    </fill>
    <fill>
      <patternFill patternType="solid">
        <fgColor rgb="FFFFF4D6"/>
        <bgColor rgb="FFF3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3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E7F4EA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FF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E7F4EA"/>
      <rgbColor rgb="FF660066"/>
      <rgbColor rgb="FFFF8080"/>
      <rgbColor rgb="FF0066CC"/>
      <rgbColor rgb="FFC9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B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10" min="9" style="0" width="12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80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5" t="s">
        <v>16</v>
      </c>
      <c r="C5" s="5" t="s">
        <v>17</v>
      </c>
      <c r="D5" s="6" t="n">
        <v>0</v>
      </c>
      <c r="E5" s="7" t="n">
        <f aca="false">D5/Summary!$B$4</f>
        <v>0</v>
      </c>
      <c r="F5" s="6" t="n">
        <v>56873</v>
      </c>
      <c r="G5" s="8" t="s">
        <v>18</v>
      </c>
      <c r="H5" s="8" t="s">
        <v>19</v>
      </c>
      <c r="I5" s="8"/>
      <c r="J5" s="8"/>
      <c r="K5" s="5" t="s">
        <v>20</v>
      </c>
      <c r="L5" s="9" t="s">
        <v>21</v>
      </c>
      <c r="M5" s="5" t="s">
        <v>22</v>
      </c>
    </row>
    <row r="6" customFormat="false" ht="15" hidden="false" customHeight="false" outlineLevel="0" collapsed="false">
      <c r="A6" s="10" t="s">
        <v>23</v>
      </c>
      <c r="B6" s="11" t="s">
        <v>24</v>
      </c>
      <c r="C6" s="11" t="s">
        <v>25</v>
      </c>
      <c r="D6" s="12" t="n">
        <v>0</v>
      </c>
      <c r="E6" s="13" t="n">
        <f aca="false">D6/Summary!$B$4</f>
        <v>0</v>
      </c>
      <c r="F6" s="12" t="n">
        <v>56873</v>
      </c>
      <c r="G6" s="14" t="s">
        <v>20</v>
      </c>
      <c r="H6" s="14" t="s">
        <v>20</v>
      </c>
      <c r="I6" s="14"/>
      <c r="J6" s="14"/>
      <c r="K6" s="11" t="s">
        <v>20</v>
      </c>
      <c r="L6" s="15" t="s">
        <v>26</v>
      </c>
      <c r="M6" s="11" t="s">
        <v>27</v>
      </c>
    </row>
    <row r="7" customFormat="false" ht="15" hidden="false" customHeight="false" outlineLevel="0" collapsed="false">
      <c r="A7" s="4" t="s">
        <v>28</v>
      </c>
      <c r="B7" s="5" t="s">
        <v>16</v>
      </c>
      <c r="C7" s="5" t="s">
        <v>17</v>
      </c>
      <c r="D7" s="6" t="n">
        <v>0</v>
      </c>
      <c r="E7" s="7" t="n">
        <f aca="false">D7/Summary!$B$4</f>
        <v>0</v>
      </c>
      <c r="F7" s="6" t="n">
        <v>1</v>
      </c>
      <c r="G7" s="8" t="s">
        <v>29</v>
      </c>
      <c r="H7" s="8" t="s">
        <v>29</v>
      </c>
      <c r="I7" s="8"/>
      <c r="J7" s="8"/>
      <c r="K7" s="5" t="s">
        <v>30</v>
      </c>
      <c r="L7" s="16" t="s">
        <v>26</v>
      </c>
      <c r="M7" s="5" t="s">
        <v>31</v>
      </c>
    </row>
    <row r="8" customFormat="false" ht="15" hidden="false" customHeight="false" outlineLevel="0" collapsed="false">
      <c r="A8" s="10" t="s">
        <v>32</v>
      </c>
      <c r="B8" s="11" t="s">
        <v>24</v>
      </c>
      <c r="C8" s="11" t="s">
        <v>33</v>
      </c>
      <c r="D8" s="12" t="n">
        <v>0</v>
      </c>
      <c r="E8" s="13" t="n">
        <f aca="false">D8/Summary!$B$4</f>
        <v>0</v>
      </c>
      <c r="F8" s="12" t="n">
        <v>2</v>
      </c>
      <c r="G8" s="14" t="s">
        <v>34</v>
      </c>
      <c r="H8" s="14" t="s">
        <v>35</v>
      </c>
      <c r="I8" s="14"/>
      <c r="J8" s="14"/>
      <c r="K8" s="11" t="s">
        <v>36</v>
      </c>
      <c r="L8" s="15" t="s">
        <v>26</v>
      </c>
      <c r="M8" s="11" t="s">
        <v>37</v>
      </c>
    </row>
    <row r="9" customFormat="false" ht="15" hidden="false" customHeight="false" outlineLevel="0" collapsed="false">
      <c r="A9" s="4" t="s">
        <v>38</v>
      </c>
      <c r="B9" s="5" t="s">
        <v>24</v>
      </c>
      <c r="C9" s="5" t="s">
        <v>39</v>
      </c>
      <c r="D9" s="6" t="n">
        <v>0</v>
      </c>
      <c r="E9" s="7" t="n">
        <f aca="false">D9/Summary!$B$4</f>
        <v>0</v>
      </c>
      <c r="F9" s="6" t="n">
        <v>2</v>
      </c>
      <c r="G9" s="8" t="s">
        <v>20</v>
      </c>
      <c r="H9" s="8" t="s">
        <v>20</v>
      </c>
      <c r="I9" s="8"/>
      <c r="J9" s="8"/>
      <c r="K9" s="5" t="s">
        <v>40</v>
      </c>
      <c r="L9" s="16" t="s">
        <v>26</v>
      </c>
      <c r="M9" s="5"/>
    </row>
    <row r="10" customFormat="false" ht="15" hidden="false" customHeight="false" outlineLevel="0" collapsed="false">
      <c r="A10" s="10" t="s">
        <v>41</v>
      </c>
      <c r="B10" s="11" t="s">
        <v>24</v>
      </c>
      <c r="C10" s="11" t="s">
        <v>42</v>
      </c>
      <c r="D10" s="12" t="n">
        <v>0</v>
      </c>
      <c r="E10" s="13" t="n">
        <f aca="false">D10/Summary!$B$4</f>
        <v>0</v>
      </c>
      <c r="F10" s="12" t="n">
        <v>54619</v>
      </c>
      <c r="G10" s="14" t="s">
        <v>20</v>
      </c>
      <c r="H10" s="14" t="s">
        <v>20</v>
      </c>
      <c r="I10" s="14"/>
      <c r="J10" s="14"/>
      <c r="K10" s="11" t="s">
        <v>43</v>
      </c>
      <c r="L10" s="15" t="s">
        <v>26</v>
      </c>
      <c r="M10" s="11"/>
    </row>
    <row r="11" customFormat="false" ht="23.85" hidden="false" customHeight="false" outlineLevel="0" collapsed="false">
      <c r="A11" s="4" t="s">
        <v>44</v>
      </c>
      <c r="B11" s="5" t="s">
        <v>24</v>
      </c>
      <c r="C11" s="5" t="s">
        <v>42</v>
      </c>
      <c r="D11" s="6" t="n">
        <v>1297</v>
      </c>
      <c r="E11" s="7" t="n">
        <f aca="false">D11/Summary!$B$4</f>
        <v>0.0228051975454082</v>
      </c>
      <c r="F11" s="6" t="n">
        <v>47970</v>
      </c>
      <c r="G11" s="8" t="s">
        <v>20</v>
      </c>
      <c r="H11" s="8" t="s">
        <v>20</v>
      </c>
      <c r="I11" s="8"/>
      <c r="J11" s="8"/>
      <c r="K11" s="5" t="s">
        <v>45</v>
      </c>
      <c r="L11" s="16" t="s">
        <v>26</v>
      </c>
      <c r="M11" s="5"/>
    </row>
    <row r="12" customFormat="false" ht="15" hidden="false" customHeight="false" outlineLevel="0" collapsed="false">
      <c r="A12" s="10" t="s">
        <v>46</v>
      </c>
      <c r="B12" s="11" t="s">
        <v>47</v>
      </c>
      <c r="C12" s="11" t="s">
        <v>48</v>
      </c>
      <c r="D12" s="12" t="n">
        <v>56873</v>
      </c>
      <c r="E12" s="13" t="n">
        <f aca="false">D12/Summary!$B$4</f>
        <v>1</v>
      </c>
      <c r="F12" s="12" t="n">
        <v>0</v>
      </c>
      <c r="G12" s="14" t="s">
        <v>20</v>
      </c>
      <c r="H12" s="14" t="s">
        <v>20</v>
      </c>
      <c r="I12" s="14"/>
      <c r="J12" s="14"/>
      <c r="K12" s="11" t="s">
        <v>20</v>
      </c>
      <c r="L12" s="15" t="s">
        <v>26</v>
      </c>
      <c r="M12" s="11" t="s">
        <v>49</v>
      </c>
    </row>
    <row r="13" customFormat="false" ht="23.85" hidden="false" customHeight="false" outlineLevel="0" collapsed="false">
      <c r="A13" s="4" t="s">
        <v>50</v>
      </c>
      <c r="B13" s="5" t="s">
        <v>24</v>
      </c>
      <c r="C13" s="5" t="s">
        <v>25</v>
      </c>
      <c r="D13" s="6" t="n">
        <v>18</v>
      </c>
      <c r="E13" s="7" t="n">
        <f aca="false">D13/Summary!$B$4</f>
        <v>0.000316494645965572</v>
      </c>
      <c r="F13" s="6" t="n">
        <v>56110</v>
      </c>
      <c r="G13" s="8" t="s">
        <v>20</v>
      </c>
      <c r="H13" s="8" t="s">
        <v>20</v>
      </c>
      <c r="I13" s="8"/>
      <c r="J13" s="8"/>
      <c r="K13" s="5" t="s">
        <v>51</v>
      </c>
      <c r="L13" s="16" t="s">
        <v>26</v>
      </c>
      <c r="M13" s="5" t="s">
        <v>27</v>
      </c>
    </row>
    <row r="14" customFormat="false" ht="15" hidden="false" customHeight="false" outlineLevel="0" collapsed="false">
      <c r="A14" s="10" t="s">
        <v>52</v>
      </c>
      <c r="B14" s="11" t="s">
        <v>16</v>
      </c>
      <c r="C14" s="11" t="s">
        <v>17</v>
      </c>
      <c r="D14" s="12" t="n">
        <v>0</v>
      </c>
      <c r="E14" s="13" t="n">
        <f aca="false">D14/Summary!$B$4</f>
        <v>0</v>
      </c>
      <c r="F14" s="12" t="n">
        <v>29047</v>
      </c>
      <c r="G14" s="14" t="s">
        <v>53</v>
      </c>
      <c r="H14" s="14" t="s">
        <v>54</v>
      </c>
      <c r="I14" s="14"/>
      <c r="J14" s="14"/>
      <c r="K14" s="11" t="s">
        <v>55</v>
      </c>
      <c r="L14" s="15" t="s">
        <v>26</v>
      </c>
      <c r="M14" s="11" t="s">
        <v>56</v>
      </c>
    </row>
    <row r="15" customFormat="false" ht="23.85" hidden="false" customHeight="false" outlineLevel="0" collapsed="false">
      <c r="A15" s="4" t="s">
        <v>57</v>
      </c>
      <c r="B15" s="5" t="s">
        <v>24</v>
      </c>
      <c r="C15" s="5" t="s">
        <v>25</v>
      </c>
      <c r="D15" s="6" t="n">
        <v>0</v>
      </c>
      <c r="E15" s="7" t="n">
        <f aca="false">D15/Summary!$B$4</f>
        <v>0</v>
      </c>
      <c r="F15" s="6" t="n">
        <v>29047</v>
      </c>
      <c r="G15" s="8" t="s">
        <v>20</v>
      </c>
      <c r="H15" s="8" t="s">
        <v>20</v>
      </c>
      <c r="I15" s="8"/>
      <c r="J15" s="8"/>
      <c r="K15" s="5" t="s">
        <v>58</v>
      </c>
      <c r="L15" s="16" t="s">
        <v>26</v>
      </c>
      <c r="M15" s="5" t="s">
        <v>56</v>
      </c>
    </row>
    <row r="16" customFormat="false" ht="15" hidden="false" customHeight="false" outlineLevel="0" collapsed="false">
      <c r="A16" s="10" t="s">
        <v>59</v>
      </c>
      <c r="B16" s="11" t="s">
        <v>16</v>
      </c>
      <c r="C16" s="11" t="s">
        <v>17</v>
      </c>
      <c r="D16" s="12" t="n">
        <v>0</v>
      </c>
      <c r="E16" s="13" t="n">
        <f aca="false">D16/Summary!$B$4</f>
        <v>0</v>
      </c>
      <c r="F16" s="12" t="n">
        <v>29047</v>
      </c>
      <c r="G16" s="14" t="s">
        <v>60</v>
      </c>
      <c r="H16" s="14" t="s">
        <v>61</v>
      </c>
      <c r="I16" s="14"/>
      <c r="J16" s="14"/>
      <c r="K16" s="11" t="s">
        <v>62</v>
      </c>
      <c r="L16" s="15" t="s">
        <v>26</v>
      </c>
      <c r="M16" s="11" t="s">
        <v>56</v>
      </c>
    </row>
    <row r="17" customFormat="false" ht="23.85" hidden="false" customHeight="false" outlineLevel="0" collapsed="false">
      <c r="A17" s="4" t="s">
        <v>63</v>
      </c>
      <c r="B17" s="5" t="s">
        <v>24</v>
      </c>
      <c r="C17" s="5" t="s">
        <v>25</v>
      </c>
      <c r="D17" s="6" t="n">
        <v>0</v>
      </c>
      <c r="E17" s="7" t="n">
        <f aca="false">D17/Summary!$B$4</f>
        <v>0</v>
      </c>
      <c r="F17" s="6" t="n">
        <v>29047</v>
      </c>
      <c r="G17" s="8" t="s">
        <v>20</v>
      </c>
      <c r="H17" s="8" t="s">
        <v>20</v>
      </c>
      <c r="I17" s="8"/>
      <c r="J17" s="8"/>
      <c r="K17" s="5" t="s">
        <v>64</v>
      </c>
      <c r="L17" s="16" t="s">
        <v>26</v>
      </c>
      <c r="M17" s="5" t="s">
        <v>56</v>
      </c>
    </row>
    <row r="18" customFormat="false" ht="15" hidden="false" customHeight="false" outlineLevel="0" collapsed="false">
      <c r="A18" s="10" t="s">
        <v>65</v>
      </c>
      <c r="B18" s="11" t="s">
        <v>24</v>
      </c>
      <c r="C18" s="11" t="s">
        <v>42</v>
      </c>
      <c r="D18" s="12" t="n">
        <v>0</v>
      </c>
      <c r="E18" s="13" t="n">
        <f aca="false">D18/Summary!$B$4</f>
        <v>0</v>
      </c>
      <c r="F18" s="12" t="n">
        <v>5677</v>
      </c>
      <c r="G18" s="14" t="s">
        <v>20</v>
      </c>
      <c r="H18" s="14" t="s">
        <v>20</v>
      </c>
      <c r="I18" s="14"/>
      <c r="J18" s="14"/>
      <c r="K18" s="11" t="s">
        <v>66</v>
      </c>
      <c r="L18" s="15" t="s">
        <v>26</v>
      </c>
      <c r="M18" s="11" t="s">
        <v>56</v>
      </c>
    </row>
    <row r="19" customFormat="false" ht="15" hidden="false" customHeight="false" outlineLevel="0" collapsed="false">
      <c r="A19" s="4" t="s">
        <v>67</v>
      </c>
      <c r="B19" s="5" t="s">
        <v>47</v>
      </c>
      <c r="C19" s="5" t="s">
        <v>48</v>
      </c>
      <c r="D19" s="6" t="n">
        <v>56873</v>
      </c>
      <c r="E19" s="7" t="n">
        <f aca="false">D19/Summary!$B$4</f>
        <v>1</v>
      </c>
      <c r="F19" s="6" t="n">
        <v>0</v>
      </c>
      <c r="G19" s="8" t="s">
        <v>20</v>
      </c>
      <c r="H19" s="8" t="s">
        <v>20</v>
      </c>
      <c r="I19" s="8"/>
      <c r="J19" s="8"/>
      <c r="K19" s="5" t="s">
        <v>20</v>
      </c>
      <c r="L19" s="16" t="s">
        <v>26</v>
      </c>
      <c r="M19" s="5" t="s">
        <v>49</v>
      </c>
    </row>
    <row r="20" customFormat="false" ht="15" hidden="false" customHeight="false" outlineLevel="0" collapsed="false">
      <c r="A20" s="10" t="s">
        <v>68</v>
      </c>
      <c r="B20" s="11" t="s">
        <v>16</v>
      </c>
      <c r="C20" s="11" t="s">
        <v>69</v>
      </c>
      <c r="D20" s="12" t="n">
        <v>0</v>
      </c>
      <c r="E20" s="13" t="n">
        <f aca="false">D20/Summary!$B$4</f>
        <v>0</v>
      </c>
      <c r="F20" s="12" t="n">
        <v>18</v>
      </c>
      <c r="G20" s="17" t="n">
        <v>0</v>
      </c>
      <c r="H20" s="17" t="n">
        <v>17</v>
      </c>
      <c r="I20" s="18" t="n">
        <v>6.47101436534032</v>
      </c>
      <c r="J20" s="17" t="n">
        <v>7</v>
      </c>
      <c r="K20" s="11" t="s">
        <v>70</v>
      </c>
      <c r="L20" s="15" t="s">
        <v>26</v>
      </c>
      <c r="M20" s="11"/>
    </row>
    <row r="21" customFormat="false" ht="15" hidden="false" customHeight="false" outlineLevel="0" collapsed="false">
      <c r="A21" s="4" t="s">
        <v>71</v>
      </c>
      <c r="B21" s="5" t="s">
        <v>16</v>
      </c>
      <c r="C21" s="5" t="s">
        <v>69</v>
      </c>
      <c r="D21" s="6" t="n">
        <v>0</v>
      </c>
      <c r="E21" s="7" t="n">
        <f aca="false">D21/Summary!$B$4</f>
        <v>0</v>
      </c>
      <c r="F21" s="6" t="n">
        <v>12</v>
      </c>
      <c r="G21" s="19" t="n">
        <v>0</v>
      </c>
      <c r="H21" s="19" t="n">
        <v>11</v>
      </c>
      <c r="I21" s="20" t="n">
        <v>5.23642150053628</v>
      </c>
      <c r="J21" s="19" t="n">
        <v>5</v>
      </c>
      <c r="K21" s="5" t="s">
        <v>72</v>
      </c>
      <c r="L21" s="16" t="s">
        <v>26</v>
      </c>
      <c r="M21" s="5"/>
    </row>
    <row r="22" customFormat="false" ht="15" hidden="false" customHeight="false" outlineLevel="0" collapsed="false">
      <c r="A22" s="10" t="s">
        <v>73</v>
      </c>
      <c r="B22" s="11" t="s">
        <v>47</v>
      </c>
      <c r="C22" s="11" t="s">
        <v>69</v>
      </c>
      <c r="D22" s="12" t="n">
        <v>1</v>
      </c>
      <c r="E22" s="13" t="n">
        <f aca="false">D22/Summary!$B$4</f>
        <v>1.75830358869762E-005</v>
      </c>
      <c r="F22" s="12" t="n">
        <v>16</v>
      </c>
      <c r="G22" s="17" t="n">
        <v>0</v>
      </c>
      <c r="H22" s="17" t="n">
        <v>15</v>
      </c>
      <c r="I22" s="18" t="n">
        <v>5.51557884371923</v>
      </c>
      <c r="J22" s="17" t="n">
        <v>5</v>
      </c>
      <c r="K22" s="11" t="s">
        <v>74</v>
      </c>
      <c r="L22" s="15" t="s">
        <v>26</v>
      </c>
      <c r="M22" s="11"/>
    </row>
    <row r="23" customFormat="false" ht="15" hidden="false" customHeight="false" outlineLevel="0" collapsed="false">
      <c r="A23" s="4" t="s">
        <v>75</v>
      </c>
      <c r="B23" s="5" t="s">
        <v>47</v>
      </c>
      <c r="C23" s="5" t="s">
        <v>69</v>
      </c>
      <c r="D23" s="6" t="n">
        <v>1</v>
      </c>
      <c r="E23" s="7" t="n">
        <f aca="false">D23/Summary!$B$4</f>
        <v>1.75830358869762E-005</v>
      </c>
      <c r="F23" s="6" t="n">
        <v>12</v>
      </c>
      <c r="G23" s="19" t="n">
        <v>0</v>
      </c>
      <c r="H23" s="19" t="n">
        <v>11</v>
      </c>
      <c r="I23" s="20" t="n">
        <v>4.97949781966521</v>
      </c>
      <c r="J23" s="19" t="n">
        <v>4</v>
      </c>
      <c r="K23" s="5" t="s">
        <v>76</v>
      </c>
      <c r="L23" s="16" t="s">
        <v>26</v>
      </c>
      <c r="M23" s="5"/>
    </row>
    <row r="24" customFormat="false" ht="15" hidden="false" customHeight="false" outlineLevel="0" collapsed="false">
      <c r="A24" s="10" t="s">
        <v>77</v>
      </c>
      <c r="B24" s="11" t="s">
        <v>24</v>
      </c>
      <c r="C24" s="11" t="s">
        <v>42</v>
      </c>
      <c r="D24" s="12" t="n">
        <v>20663</v>
      </c>
      <c r="E24" s="13" t="n">
        <f aca="false">D24/Summary!$B$4</f>
        <v>0.36331827053259</v>
      </c>
      <c r="F24" s="12" t="n">
        <v>1336</v>
      </c>
      <c r="G24" s="14" t="s">
        <v>20</v>
      </c>
      <c r="H24" s="14" t="s">
        <v>20</v>
      </c>
      <c r="I24" s="14"/>
      <c r="J24" s="14"/>
      <c r="K24" s="11" t="s">
        <v>78</v>
      </c>
      <c r="L24" s="15" t="s">
        <v>26</v>
      </c>
      <c r="M24" s="11" t="s">
        <v>56</v>
      </c>
    </row>
    <row r="25" customFormat="false" ht="23.85" hidden="false" customHeight="false" outlineLevel="0" collapsed="false">
      <c r="A25" s="4" t="s">
        <v>79</v>
      </c>
      <c r="B25" s="5" t="s">
        <v>24</v>
      </c>
      <c r="C25" s="5" t="s">
        <v>42</v>
      </c>
      <c r="D25" s="6" t="n">
        <v>34446</v>
      </c>
      <c r="E25" s="7" t="n">
        <f aca="false">D25/Summary!$B$4</f>
        <v>0.605665254162784</v>
      </c>
      <c r="F25" s="6" t="n">
        <v>8491</v>
      </c>
      <c r="G25" s="8" t="s">
        <v>20</v>
      </c>
      <c r="H25" s="8" t="s">
        <v>20</v>
      </c>
      <c r="I25" s="8"/>
      <c r="J25" s="8"/>
      <c r="K25" s="5" t="s">
        <v>80</v>
      </c>
      <c r="L25" s="16" t="s">
        <v>26</v>
      </c>
      <c r="M25" s="5" t="s">
        <v>56</v>
      </c>
    </row>
    <row r="26" customFormat="false" ht="15" hidden="false" customHeight="false" outlineLevel="0" collapsed="false">
      <c r="A26" s="10" t="s">
        <v>81</v>
      </c>
      <c r="B26" s="11" t="s">
        <v>47</v>
      </c>
      <c r="C26" s="11" t="s">
        <v>48</v>
      </c>
      <c r="D26" s="12" t="n">
        <v>56873</v>
      </c>
      <c r="E26" s="13" t="n">
        <f aca="false">D26/Summary!$B$4</f>
        <v>1</v>
      </c>
      <c r="F26" s="12" t="n">
        <v>0</v>
      </c>
      <c r="G26" s="14" t="s">
        <v>20</v>
      </c>
      <c r="H26" s="14" t="s">
        <v>20</v>
      </c>
      <c r="I26" s="14"/>
      <c r="J26" s="14"/>
      <c r="K26" s="11" t="s">
        <v>20</v>
      </c>
      <c r="L26" s="15" t="s">
        <v>26</v>
      </c>
      <c r="M26" s="11" t="s">
        <v>49</v>
      </c>
    </row>
    <row r="27" customFormat="false" ht="15" hidden="false" customHeight="false" outlineLevel="0" collapsed="false">
      <c r="A27" s="4" t="s">
        <v>82</v>
      </c>
      <c r="B27" s="5" t="s">
        <v>47</v>
      </c>
      <c r="C27" s="5" t="s">
        <v>48</v>
      </c>
      <c r="D27" s="6" t="n">
        <v>56873</v>
      </c>
      <c r="E27" s="7" t="n">
        <f aca="false">D27/Summary!$B$4</f>
        <v>1</v>
      </c>
      <c r="F27" s="6" t="n">
        <v>0</v>
      </c>
      <c r="G27" s="8" t="s">
        <v>20</v>
      </c>
      <c r="H27" s="8" t="s">
        <v>20</v>
      </c>
      <c r="I27" s="8"/>
      <c r="J27" s="8"/>
      <c r="K27" s="5" t="s">
        <v>20</v>
      </c>
      <c r="L27" s="16" t="s">
        <v>26</v>
      </c>
      <c r="M27" s="5" t="s">
        <v>49</v>
      </c>
    </row>
    <row r="28" customFormat="false" ht="15" hidden="false" customHeight="false" outlineLevel="0" collapsed="false">
      <c r="A28" s="10" t="s">
        <v>83</v>
      </c>
      <c r="B28" s="11" t="s">
        <v>47</v>
      </c>
      <c r="C28" s="11" t="s">
        <v>48</v>
      </c>
      <c r="D28" s="12" t="n">
        <v>56873</v>
      </c>
      <c r="E28" s="13" t="n">
        <f aca="false">D28/Summary!$B$4</f>
        <v>1</v>
      </c>
      <c r="F28" s="12" t="n">
        <v>0</v>
      </c>
      <c r="G28" s="14" t="s">
        <v>20</v>
      </c>
      <c r="H28" s="14" t="s">
        <v>20</v>
      </c>
      <c r="I28" s="14"/>
      <c r="J28" s="14"/>
      <c r="K28" s="11" t="s">
        <v>20</v>
      </c>
      <c r="L28" s="15" t="s">
        <v>26</v>
      </c>
      <c r="M28" s="11" t="s">
        <v>49</v>
      </c>
    </row>
    <row r="29" customFormat="false" ht="15" hidden="false" customHeight="false" outlineLevel="0" collapsed="false">
      <c r="A29" s="4" t="s">
        <v>84</v>
      </c>
      <c r="B29" s="5" t="s">
        <v>24</v>
      </c>
      <c r="C29" s="5" t="s">
        <v>85</v>
      </c>
      <c r="D29" s="6" t="n">
        <v>0</v>
      </c>
      <c r="E29" s="7" t="n">
        <f aca="false">D29/Summary!$B$4</f>
        <v>0</v>
      </c>
      <c r="F29" s="6" t="n">
        <v>2</v>
      </c>
      <c r="G29" s="8" t="s">
        <v>20</v>
      </c>
      <c r="H29" s="8" t="s">
        <v>20</v>
      </c>
      <c r="I29" s="8"/>
      <c r="J29" s="8"/>
      <c r="K29" s="5" t="s">
        <v>86</v>
      </c>
      <c r="L29" s="16" t="s">
        <v>26</v>
      </c>
      <c r="M29" s="5" t="s">
        <v>87</v>
      </c>
    </row>
    <row r="30" customFormat="false" ht="15" hidden="false" customHeight="false" outlineLevel="0" collapsed="false">
      <c r="A30" s="10" t="s">
        <v>88</v>
      </c>
      <c r="B30" s="11" t="s">
        <v>47</v>
      </c>
      <c r="C30" s="11" t="s">
        <v>48</v>
      </c>
      <c r="D30" s="12" t="n">
        <v>56873</v>
      </c>
      <c r="E30" s="13" t="n">
        <f aca="false">D30/Summary!$B$4</f>
        <v>1</v>
      </c>
      <c r="F30" s="12" t="n">
        <v>0</v>
      </c>
      <c r="G30" s="14" t="s">
        <v>20</v>
      </c>
      <c r="H30" s="14" t="s">
        <v>20</v>
      </c>
      <c r="I30" s="14"/>
      <c r="J30" s="14"/>
      <c r="K30" s="11" t="s">
        <v>20</v>
      </c>
      <c r="L30" s="15" t="s">
        <v>26</v>
      </c>
      <c r="M30" s="11" t="s">
        <v>49</v>
      </c>
    </row>
    <row r="31" customFormat="false" ht="23.85" hidden="false" customHeight="false" outlineLevel="0" collapsed="false">
      <c r="A31" s="4" t="s">
        <v>89</v>
      </c>
      <c r="B31" s="5" t="s">
        <v>24</v>
      </c>
      <c r="C31" s="5" t="s">
        <v>25</v>
      </c>
      <c r="D31" s="6" t="n">
        <v>0</v>
      </c>
      <c r="E31" s="7" t="n">
        <f aca="false">D31/Summary!$B$4</f>
        <v>0</v>
      </c>
      <c r="F31" s="6" t="n">
        <v>24919</v>
      </c>
      <c r="G31" s="8" t="s">
        <v>20</v>
      </c>
      <c r="H31" s="8" t="s">
        <v>20</v>
      </c>
      <c r="I31" s="8"/>
      <c r="J31" s="8"/>
      <c r="K31" s="5" t="s">
        <v>90</v>
      </c>
      <c r="L31" s="16" t="s">
        <v>26</v>
      </c>
      <c r="M31" s="5" t="s">
        <v>56</v>
      </c>
    </row>
    <row r="32" customFormat="false" ht="15" hidden="false" customHeight="false" outlineLevel="0" collapsed="false">
      <c r="A32" s="10" t="s">
        <v>91</v>
      </c>
      <c r="B32" s="11" t="s">
        <v>47</v>
      </c>
      <c r="C32" s="11" t="s">
        <v>48</v>
      </c>
      <c r="D32" s="12" t="n">
        <v>56873</v>
      </c>
      <c r="E32" s="13" t="n">
        <f aca="false">D32/Summary!$B$4</f>
        <v>1</v>
      </c>
      <c r="F32" s="12" t="n">
        <v>0</v>
      </c>
      <c r="G32" s="14" t="s">
        <v>20</v>
      </c>
      <c r="H32" s="14" t="s">
        <v>20</v>
      </c>
      <c r="I32" s="14"/>
      <c r="J32" s="14"/>
      <c r="K32" s="11" t="s">
        <v>20</v>
      </c>
      <c r="L32" s="15" t="s">
        <v>26</v>
      </c>
      <c r="M32" s="11" t="s">
        <v>49</v>
      </c>
    </row>
    <row r="33" customFormat="false" ht="15" hidden="false" customHeight="false" outlineLevel="0" collapsed="false">
      <c r="A33" s="4" t="s">
        <v>92</v>
      </c>
      <c r="B33" s="5" t="s">
        <v>16</v>
      </c>
      <c r="C33" s="5" t="s">
        <v>69</v>
      </c>
      <c r="D33" s="6" t="n">
        <v>0</v>
      </c>
      <c r="E33" s="7" t="n">
        <f aca="false">D33/Summary!$B$4</f>
        <v>0</v>
      </c>
      <c r="F33" s="6" t="n">
        <v>254</v>
      </c>
      <c r="G33" s="19" t="n">
        <v>1</v>
      </c>
      <c r="H33" s="19" t="n">
        <v>6243</v>
      </c>
      <c r="I33" s="20" t="n">
        <v>47.1678828266489</v>
      </c>
      <c r="J33" s="19" t="n">
        <v>3</v>
      </c>
      <c r="K33" s="5" t="s">
        <v>93</v>
      </c>
      <c r="L33" s="16" t="s">
        <v>26</v>
      </c>
      <c r="M33" s="5"/>
    </row>
    <row r="34" customFormat="false" ht="15" hidden="false" customHeight="false" outlineLevel="0" collapsed="false">
      <c r="A34" s="10" t="s">
        <v>94</v>
      </c>
      <c r="B34" s="11" t="s">
        <v>47</v>
      </c>
      <c r="C34" s="11" t="s">
        <v>48</v>
      </c>
      <c r="D34" s="12" t="n">
        <v>56873</v>
      </c>
      <c r="E34" s="13" t="n">
        <f aca="false">D34/Summary!$B$4</f>
        <v>1</v>
      </c>
      <c r="F34" s="12" t="n">
        <v>0</v>
      </c>
      <c r="G34" s="14" t="s">
        <v>20</v>
      </c>
      <c r="H34" s="14" t="s">
        <v>20</v>
      </c>
      <c r="I34" s="14"/>
      <c r="J34" s="14"/>
      <c r="K34" s="11" t="s">
        <v>20</v>
      </c>
      <c r="L34" s="15" t="s">
        <v>26</v>
      </c>
      <c r="M34" s="11" t="s">
        <v>49</v>
      </c>
    </row>
    <row r="35" customFormat="false" ht="15" hidden="false" customHeight="false" outlineLevel="0" collapsed="false">
      <c r="A35" s="4" t="s">
        <v>95</v>
      </c>
      <c r="B35" s="5" t="s">
        <v>47</v>
      </c>
      <c r="C35" s="5" t="s">
        <v>48</v>
      </c>
      <c r="D35" s="6" t="n">
        <v>56873</v>
      </c>
      <c r="E35" s="7" t="n">
        <f aca="false">D35/Summary!$B$4</f>
        <v>1</v>
      </c>
      <c r="F35" s="6" t="n">
        <v>0</v>
      </c>
      <c r="G35" s="8" t="s">
        <v>20</v>
      </c>
      <c r="H35" s="8" t="s">
        <v>20</v>
      </c>
      <c r="I35" s="8"/>
      <c r="J35" s="8"/>
      <c r="K35" s="5" t="s">
        <v>20</v>
      </c>
      <c r="L35" s="16" t="s">
        <v>26</v>
      </c>
      <c r="M35" s="5" t="s">
        <v>49</v>
      </c>
    </row>
    <row r="36" customFormat="false" ht="15" hidden="false" customHeight="false" outlineLevel="0" collapsed="false">
      <c r="A36" s="10" t="s">
        <v>96</v>
      </c>
      <c r="B36" s="11" t="s">
        <v>24</v>
      </c>
      <c r="C36" s="11" t="s">
        <v>85</v>
      </c>
      <c r="D36" s="12" t="n">
        <v>0</v>
      </c>
      <c r="E36" s="13" t="n">
        <f aca="false">D36/Summary!$B$4</f>
        <v>0</v>
      </c>
      <c r="F36" s="12" t="n">
        <v>2</v>
      </c>
      <c r="G36" s="14" t="s">
        <v>20</v>
      </c>
      <c r="H36" s="14" t="s">
        <v>20</v>
      </c>
      <c r="I36" s="14"/>
      <c r="J36" s="14"/>
      <c r="K36" s="11" t="s">
        <v>97</v>
      </c>
      <c r="L36" s="15" t="s">
        <v>26</v>
      </c>
      <c r="M36" s="11" t="s">
        <v>98</v>
      </c>
    </row>
    <row r="37" customFormat="false" ht="15" hidden="false" customHeight="false" outlineLevel="0" collapsed="false">
      <c r="A37" s="4" t="s">
        <v>99</v>
      </c>
      <c r="B37" s="5" t="s">
        <v>24</v>
      </c>
      <c r="C37" s="5" t="s">
        <v>85</v>
      </c>
      <c r="D37" s="6" t="n">
        <v>0</v>
      </c>
      <c r="E37" s="7" t="n">
        <f aca="false">D37/Summary!$B$4</f>
        <v>0</v>
      </c>
      <c r="F37" s="6" t="n">
        <v>2</v>
      </c>
      <c r="G37" s="8" t="s">
        <v>20</v>
      </c>
      <c r="H37" s="8" t="s">
        <v>20</v>
      </c>
      <c r="I37" s="8"/>
      <c r="J37" s="8"/>
      <c r="K37" s="5" t="s">
        <v>100</v>
      </c>
      <c r="L37" s="16" t="s">
        <v>26</v>
      </c>
      <c r="M37" s="5" t="s">
        <v>98</v>
      </c>
    </row>
    <row r="38" customFormat="false" ht="15" hidden="false" customHeight="false" outlineLevel="0" collapsed="false">
      <c r="A38" s="10" t="s">
        <v>101</v>
      </c>
      <c r="B38" s="11" t="s">
        <v>47</v>
      </c>
      <c r="C38" s="11" t="s">
        <v>48</v>
      </c>
      <c r="D38" s="12" t="n">
        <v>56873</v>
      </c>
      <c r="E38" s="13" t="n">
        <f aca="false">D38/Summary!$B$4</f>
        <v>1</v>
      </c>
      <c r="F38" s="12" t="n">
        <v>0</v>
      </c>
      <c r="G38" s="14" t="s">
        <v>20</v>
      </c>
      <c r="H38" s="14" t="s">
        <v>20</v>
      </c>
      <c r="I38" s="14"/>
      <c r="J38" s="14"/>
      <c r="K38" s="11" t="s">
        <v>20</v>
      </c>
      <c r="L38" s="15" t="s">
        <v>26</v>
      </c>
      <c r="M38" s="11" t="s">
        <v>49</v>
      </c>
    </row>
    <row r="39" customFormat="false" ht="15" hidden="false" customHeight="false" outlineLevel="0" collapsed="false">
      <c r="A39" s="4" t="s">
        <v>102</v>
      </c>
      <c r="B39" s="5" t="s">
        <v>24</v>
      </c>
      <c r="C39" s="5" t="s">
        <v>39</v>
      </c>
      <c r="D39" s="6" t="n">
        <v>0</v>
      </c>
      <c r="E39" s="7" t="n">
        <f aca="false">D39/Summary!$B$4</f>
        <v>0</v>
      </c>
      <c r="F39" s="6" t="n">
        <v>372</v>
      </c>
      <c r="G39" s="8" t="s">
        <v>20</v>
      </c>
      <c r="H39" s="8" t="s">
        <v>20</v>
      </c>
      <c r="I39" s="8"/>
      <c r="J39" s="8"/>
      <c r="K39" s="5" t="s">
        <v>103</v>
      </c>
      <c r="L39" s="9" t="s">
        <v>21</v>
      </c>
      <c r="M39" s="5" t="s">
        <v>104</v>
      </c>
    </row>
    <row r="40" customFormat="false" ht="15" hidden="false" customHeight="false" outlineLevel="0" collapsed="false">
      <c r="A40" s="10" t="s">
        <v>105</v>
      </c>
      <c r="B40" s="11" t="s">
        <v>47</v>
      </c>
      <c r="C40" s="11" t="s">
        <v>48</v>
      </c>
      <c r="D40" s="12" t="n">
        <v>56873</v>
      </c>
      <c r="E40" s="13" t="n">
        <f aca="false">D40/Summary!$B$4</f>
        <v>1</v>
      </c>
      <c r="F40" s="12" t="n">
        <v>0</v>
      </c>
      <c r="G40" s="14" t="s">
        <v>20</v>
      </c>
      <c r="H40" s="14" t="s">
        <v>20</v>
      </c>
      <c r="I40" s="14"/>
      <c r="J40" s="14"/>
      <c r="K40" s="11" t="s">
        <v>20</v>
      </c>
      <c r="L40" s="15" t="s">
        <v>26</v>
      </c>
      <c r="M40" s="11" t="s">
        <v>49</v>
      </c>
    </row>
    <row r="41" customFormat="false" ht="15" hidden="false" customHeight="false" outlineLevel="0" collapsed="false">
      <c r="A41" s="4" t="s">
        <v>106</v>
      </c>
      <c r="B41" s="5" t="s">
        <v>47</v>
      </c>
      <c r="C41" s="5" t="s">
        <v>107</v>
      </c>
      <c r="D41" s="6" t="n">
        <v>0</v>
      </c>
      <c r="E41" s="7" t="n">
        <f aca="false">D41/Summary!$B$4</f>
        <v>0</v>
      </c>
      <c r="F41" s="6" t="n">
        <v>46845</v>
      </c>
      <c r="G41" s="20" t="n">
        <v>35.49456</v>
      </c>
      <c r="H41" s="20" t="n">
        <v>38.81024</v>
      </c>
      <c r="I41" s="20" t="n">
        <v>37.6458218948746</v>
      </c>
      <c r="J41" s="20" t="n">
        <v>37.80874</v>
      </c>
      <c r="K41" s="5" t="s">
        <v>108</v>
      </c>
      <c r="L41" s="9" t="s">
        <v>21</v>
      </c>
      <c r="M41" s="5" t="s">
        <v>109</v>
      </c>
    </row>
    <row r="42" customFormat="false" ht="15" hidden="false" customHeight="false" outlineLevel="0" collapsed="false">
      <c r="A42" s="10" t="s">
        <v>110</v>
      </c>
      <c r="B42" s="11" t="s">
        <v>47</v>
      </c>
      <c r="C42" s="11" t="s">
        <v>107</v>
      </c>
      <c r="D42" s="12" t="n">
        <v>0</v>
      </c>
      <c r="E42" s="13" t="n">
        <f aca="false">D42/Summary!$B$4</f>
        <v>0</v>
      </c>
      <c r="F42" s="12" t="n">
        <v>47509</v>
      </c>
      <c r="G42" s="18" t="n">
        <v>11.9288473129273</v>
      </c>
      <c r="H42" s="18" t="n">
        <v>15.65168</v>
      </c>
      <c r="I42" s="18" t="n">
        <v>14.1417487476139</v>
      </c>
      <c r="J42" s="18" t="n">
        <v>14.5193</v>
      </c>
      <c r="K42" s="11" t="s">
        <v>111</v>
      </c>
      <c r="L42" s="9" t="s">
        <v>21</v>
      </c>
      <c r="M42" s="11" t="s">
        <v>112</v>
      </c>
    </row>
    <row r="43" customFormat="false" ht="15" hidden="false" customHeight="false" outlineLevel="0" collapsed="false">
      <c r="A43" s="4" t="s">
        <v>113</v>
      </c>
      <c r="B43" s="5" t="s">
        <v>24</v>
      </c>
      <c r="C43" s="5" t="s">
        <v>39</v>
      </c>
      <c r="D43" s="6" t="n">
        <v>0</v>
      </c>
      <c r="E43" s="7" t="n">
        <f aca="false">D43/Summary!$B$4</f>
        <v>0</v>
      </c>
      <c r="F43" s="6" t="n">
        <v>99</v>
      </c>
      <c r="G43" s="8" t="s">
        <v>20</v>
      </c>
      <c r="H43" s="8" t="s">
        <v>20</v>
      </c>
      <c r="I43" s="8"/>
      <c r="J43" s="8"/>
      <c r="K43" s="5" t="s">
        <v>114</v>
      </c>
      <c r="L43" s="9" t="s">
        <v>21</v>
      </c>
      <c r="M43" s="5" t="s">
        <v>115</v>
      </c>
    </row>
    <row r="44" customFormat="false" ht="15" hidden="false" customHeight="false" outlineLevel="0" collapsed="false">
      <c r="A44" s="10" t="s">
        <v>116</v>
      </c>
      <c r="B44" s="11" t="s">
        <v>24</v>
      </c>
      <c r="C44" s="11" t="s">
        <v>39</v>
      </c>
      <c r="D44" s="12" t="n">
        <v>0</v>
      </c>
      <c r="E44" s="13" t="n">
        <f aca="false">D44/Summary!$B$4</f>
        <v>0</v>
      </c>
      <c r="F44" s="12" t="n">
        <v>4</v>
      </c>
      <c r="G44" s="14" t="s">
        <v>20</v>
      </c>
      <c r="H44" s="14" t="s">
        <v>20</v>
      </c>
      <c r="I44" s="14"/>
      <c r="J44" s="14"/>
      <c r="K44" s="11" t="s">
        <v>117</v>
      </c>
      <c r="L44" s="9" t="s">
        <v>21</v>
      </c>
      <c r="M44" s="11" t="s">
        <v>118</v>
      </c>
    </row>
    <row r="45" customFormat="false" ht="15" hidden="false" customHeight="false" outlineLevel="0" collapsed="false">
      <c r="A45" s="4" t="s">
        <v>119</v>
      </c>
      <c r="B45" s="5" t="s">
        <v>16</v>
      </c>
      <c r="C45" s="5" t="s">
        <v>69</v>
      </c>
      <c r="D45" s="6" t="n">
        <v>0</v>
      </c>
      <c r="E45" s="7" t="n">
        <f aca="false">D45/Summary!$B$4</f>
        <v>0</v>
      </c>
      <c r="F45" s="6" t="n">
        <v>16</v>
      </c>
      <c r="G45" s="19" t="n">
        <v>1</v>
      </c>
      <c r="H45" s="19" t="n">
        <v>16</v>
      </c>
      <c r="I45" s="20" t="n">
        <v>4.36017090710882</v>
      </c>
      <c r="J45" s="19" t="n">
        <v>4</v>
      </c>
      <c r="K45" s="5" t="s">
        <v>120</v>
      </c>
      <c r="L45" s="9" t="s">
        <v>21</v>
      </c>
      <c r="M45" s="5" t="s">
        <v>121</v>
      </c>
    </row>
    <row r="46" customFormat="false" ht="15" hidden="false" customHeight="false" outlineLevel="0" collapsed="false">
      <c r="A46" s="10" t="s">
        <v>122</v>
      </c>
      <c r="B46" s="11" t="s">
        <v>47</v>
      </c>
      <c r="C46" s="11" t="s">
        <v>107</v>
      </c>
      <c r="D46" s="12" t="n">
        <v>8847</v>
      </c>
      <c r="E46" s="13" t="n">
        <f aca="false">D46/Summary!$B$4</f>
        <v>0.155557118492079</v>
      </c>
      <c r="F46" s="12" t="n">
        <v>29</v>
      </c>
      <c r="G46" s="18" t="n">
        <v>0.5</v>
      </c>
      <c r="H46" s="17" t="n">
        <v>19</v>
      </c>
      <c r="I46" s="18" t="n">
        <v>1.43252613167867</v>
      </c>
      <c r="J46" s="17" t="n">
        <v>1</v>
      </c>
      <c r="K46" s="11" t="s">
        <v>123</v>
      </c>
      <c r="L46" s="15" t="s">
        <v>26</v>
      </c>
      <c r="M46" s="11" t="s">
        <v>124</v>
      </c>
    </row>
    <row r="47" customFormat="false" ht="15" hidden="false" customHeight="false" outlineLevel="0" collapsed="false">
      <c r="A47" s="4" t="s">
        <v>125</v>
      </c>
      <c r="B47" s="5" t="s">
        <v>24</v>
      </c>
      <c r="C47" s="5" t="s">
        <v>39</v>
      </c>
      <c r="D47" s="6" t="n">
        <v>63</v>
      </c>
      <c r="E47" s="7" t="n">
        <f aca="false">D47/Summary!$B$4</f>
        <v>0.0011077312608795</v>
      </c>
      <c r="F47" s="6" t="n">
        <v>50</v>
      </c>
      <c r="G47" s="8" t="s">
        <v>20</v>
      </c>
      <c r="H47" s="8" t="s">
        <v>20</v>
      </c>
      <c r="I47" s="8"/>
      <c r="J47" s="8"/>
      <c r="K47" s="5" t="s">
        <v>126</v>
      </c>
      <c r="L47" s="9" t="s">
        <v>21</v>
      </c>
      <c r="M47" s="5" t="s">
        <v>127</v>
      </c>
    </row>
    <row r="48" customFormat="false" ht="15" hidden="false" customHeight="false" outlineLevel="0" collapsed="false">
      <c r="A48" s="10" t="s">
        <v>128</v>
      </c>
      <c r="B48" s="11" t="s">
        <v>47</v>
      </c>
      <c r="C48" s="11" t="s">
        <v>69</v>
      </c>
      <c r="D48" s="12" t="n">
        <v>8513</v>
      </c>
      <c r="E48" s="13" t="n">
        <f aca="false">D48/Summary!$B$4</f>
        <v>0.149684384505829</v>
      </c>
      <c r="F48" s="12" t="n">
        <v>22</v>
      </c>
      <c r="G48" s="17" t="n">
        <v>0</v>
      </c>
      <c r="H48" s="17" t="n">
        <v>22</v>
      </c>
      <c r="I48" s="18" t="n">
        <v>1.87258064516129</v>
      </c>
      <c r="J48" s="17" t="n">
        <v>2</v>
      </c>
      <c r="K48" s="11" t="s">
        <v>129</v>
      </c>
      <c r="L48" s="9" t="s">
        <v>21</v>
      </c>
      <c r="M48" s="11" t="s">
        <v>130</v>
      </c>
    </row>
    <row r="49" customFormat="false" ht="15" hidden="false" customHeight="false" outlineLevel="0" collapsed="false">
      <c r="A49" s="4" t="s">
        <v>131</v>
      </c>
      <c r="B49" s="5" t="s">
        <v>47</v>
      </c>
      <c r="C49" s="5" t="s">
        <v>69</v>
      </c>
      <c r="D49" s="6" t="n">
        <v>6829</v>
      </c>
      <c r="E49" s="7" t="n">
        <f aca="false">D49/Summary!$B$4</f>
        <v>0.120074552072161</v>
      </c>
      <c r="F49" s="6" t="n">
        <v>29</v>
      </c>
      <c r="G49" s="19" t="n">
        <v>1</v>
      </c>
      <c r="H49" s="19" t="n">
        <v>30</v>
      </c>
      <c r="I49" s="20" t="n">
        <v>2.75805291343618</v>
      </c>
      <c r="J49" s="19" t="n">
        <v>2</v>
      </c>
      <c r="K49" s="5" t="s">
        <v>132</v>
      </c>
      <c r="L49" s="16" t="s">
        <v>26</v>
      </c>
      <c r="M49" s="5" t="s">
        <v>133</v>
      </c>
    </row>
    <row r="50" customFormat="false" ht="23.85" hidden="false" customHeight="false" outlineLevel="0" collapsed="false">
      <c r="A50" s="10" t="s">
        <v>134</v>
      </c>
      <c r="B50" s="11" t="s">
        <v>24</v>
      </c>
      <c r="C50" s="11" t="s">
        <v>135</v>
      </c>
      <c r="D50" s="12" t="n">
        <v>0</v>
      </c>
      <c r="E50" s="13" t="n">
        <f aca="false">D50/Summary!$B$4</f>
        <v>0</v>
      </c>
      <c r="F50" s="12" t="n">
        <v>52166</v>
      </c>
      <c r="G50" s="14" t="s">
        <v>20</v>
      </c>
      <c r="H50" s="14" t="s">
        <v>20</v>
      </c>
      <c r="I50" s="14"/>
      <c r="J50" s="14"/>
      <c r="K50" s="11" t="s">
        <v>20</v>
      </c>
      <c r="L50" s="9" t="s">
        <v>21</v>
      </c>
      <c r="M50" s="11" t="s">
        <v>136</v>
      </c>
    </row>
    <row r="51" customFormat="false" ht="23.85" hidden="false" customHeight="false" outlineLevel="0" collapsed="false">
      <c r="A51" s="4" t="s">
        <v>137</v>
      </c>
      <c r="B51" s="5" t="s">
        <v>24</v>
      </c>
      <c r="C51" s="5" t="s">
        <v>138</v>
      </c>
      <c r="D51" s="6" t="n">
        <v>5009</v>
      </c>
      <c r="E51" s="7" t="n">
        <f aca="false">D51/Summary!$B$4</f>
        <v>0.088073426757864</v>
      </c>
      <c r="F51" s="6" t="n">
        <v>11872</v>
      </c>
      <c r="G51" s="20" t="n">
        <v>2.02</v>
      </c>
      <c r="H51" s="20" t="n">
        <v>88494.55</v>
      </c>
      <c r="I51" s="20" t="n">
        <v>193.844003162116</v>
      </c>
      <c r="J51" s="19" t="n">
        <v>126</v>
      </c>
      <c r="K51" s="5" t="s">
        <v>139</v>
      </c>
      <c r="L51" s="9" t="s">
        <v>21</v>
      </c>
      <c r="M51" s="5" t="s">
        <v>140</v>
      </c>
    </row>
    <row r="52" customFormat="false" ht="15" hidden="false" customHeight="false" outlineLevel="0" collapsed="false">
      <c r="A52" s="10" t="s">
        <v>141</v>
      </c>
      <c r="B52" s="11" t="s">
        <v>24</v>
      </c>
      <c r="C52" s="11" t="s">
        <v>33</v>
      </c>
      <c r="D52" s="12" t="n">
        <v>2612</v>
      </c>
      <c r="E52" s="13" t="n">
        <f aca="false">D52/Summary!$B$4</f>
        <v>0.045926889736782</v>
      </c>
      <c r="F52" s="12" t="n">
        <v>312</v>
      </c>
      <c r="G52" s="14" t="s">
        <v>34</v>
      </c>
      <c r="H52" s="14" t="s">
        <v>142</v>
      </c>
      <c r="I52" s="14"/>
      <c r="J52" s="14"/>
      <c r="K52" s="11" t="s">
        <v>143</v>
      </c>
      <c r="L52" s="15" t="s">
        <v>26</v>
      </c>
      <c r="M52" s="11" t="s">
        <v>144</v>
      </c>
    </row>
    <row r="53" customFormat="false" ht="15" hidden="false" customHeight="false" outlineLevel="0" collapsed="false">
      <c r="A53" s="4" t="s">
        <v>145</v>
      </c>
      <c r="B53" s="5" t="s">
        <v>24</v>
      </c>
      <c r="C53" s="5" t="s">
        <v>33</v>
      </c>
      <c r="D53" s="6" t="n">
        <v>2612</v>
      </c>
      <c r="E53" s="7" t="n">
        <f aca="false">D53/Summary!$B$4</f>
        <v>0.045926889736782</v>
      </c>
      <c r="F53" s="6" t="n">
        <v>331</v>
      </c>
      <c r="G53" s="8" t="s">
        <v>35</v>
      </c>
      <c r="H53" s="8" t="s">
        <v>146</v>
      </c>
      <c r="I53" s="8"/>
      <c r="J53" s="8"/>
      <c r="K53" s="5" t="s">
        <v>147</v>
      </c>
      <c r="L53" s="16" t="s">
        <v>26</v>
      </c>
      <c r="M53" s="5" t="s">
        <v>144</v>
      </c>
    </row>
    <row r="54" customFormat="false" ht="15" hidden="false" customHeight="false" outlineLevel="0" collapsed="false">
      <c r="A54" s="10" t="s">
        <v>148</v>
      </c>
      <c r="B54" s="11" t="s">
        <v>47</v>
      </c>
      <c r="C54" s="11" t="s">
        <v>107</v>
      </c>
      <c r="D54" s="12" t="n">
        <v>5010</v>
      </c>
      <c r="E54" s="13" t="n">
        <f aca="false">D54/Summary!$B$4</f>
        <v>0.088091009793751</v>
      </c>
      <c r="F54" s="12" t="n">
        <v>11581</v>
      </c>
      <c r="G54" s="17" t="n">
        <v>13</v>
      </c>
      <c r="H54" s="17" t="n">
        <v>2743331</v>
      </c>
      <c r="I54" s="18" t="n">
        <v>1070.30117559725</v>
      </c>
      <c r="J54" s="17" t="n">
        <v>321</v>
      </c>
      <c r="K54" s="11" t="s">
        <v>149</v>
      </c>
      <c r="L54" s="15" t="s">
        <v>26</v>
      </c>
      <c r="M54" s="11"/>
    </row>
    <row r="55" customFormat="false" ht="15" hidden="false" customHeight="false" outlineLevel="0" collapsed="false">
      <c r="A55" s="4" t="s">
        <v>150</v>
      </c>
      <c r="B55" s="5" t="s">
        <v>47</v>
      </c>
      <c r="C55" s="5" t="s">
        <v>107</v>
      </c>
      <c r="D55" s="6" t="n">
        <v>5010</v>
      </c>
      <c r="E55" s="7" t="n">
        <f aca="false">D55/Summary!$B$4</f>
        <v>0.088091009793751</v>
      </c>
      <c r="F55" s="6" t="n">
        <v>11872</v>
      </c>
      <c r="G55" s="20" t="n">
        <v>2.02</v>
      </c>
      <c r="H55" s="20" t="n">
        <v>88494.55</v>
      </c>
      <c r="I55" s="20" t="n">
        <v>193.845786977228</v>
      </c>
      <c r="J55" s="19" t="n">
        <v>126</v>
      </c>
      <c r="K55" s="5" t="s">
        <v>151</v>
      </c>
      <c r="L55" s="16" t="s">
        <v>26</v>
      </c>
      <c r="M55" s="5" t="s">
        <v>152</v>
      </c>
    </row>
    <row r="56" customFormat="false" ht="15" hidden="false" customHeight="false" outlineLevel="0" collapsed="false">
      <c r="A56" s="10" t="s">
        <v>153</v>
      </c>
      <c r="B56" s="11" t="s">
        <v>24</v>
      </c>
      <c r="C56" s="11" t="s">
        <v>154</v>
      </c>
      <c r="D56" s="12" t="n">
        <v>2612</v>
      </c>
      <c r="E56" s="13" t="n">
        <f aca="false">D56/Summary!$B$4</f>
        <v>0.045926889736782</v>
      </c>
      <c r="F56" s="12" t="n">
        <v>45131</v>
      </c>
      <c r="G56" s="14" t="s">
        <v>20</v>
      </c>
      <c r="H56" s="14" t="s">
        <v>20</v>
      </c>
      <c r="I56" s="14"/>
      <c r="J56" s="14"/>
      <c r="K56" s="11" t="s">
        <v>20</v>
      </c>
      <c r="L56" s="15" t="s">
        <v>26</v>
      </c>
      <c r="M56" s="11" t="s">
        <v>155</v>
      </c>
    </row>
    <row r="57" customFormat="false" ht="15" hidden="false" customHeight="false" outlineLevel="0" collapsed="false">
      <c r="A57" s="4" t="s">
        <v>156</v>
      </c>
      <c r="B57" s="5" t="s">
        <v>47</v>
      </c>
      <c r="C57" s="5" t="s">
        <v>69</v>
      </c>
      <c r="D57" s="6" t="n">
        <v>1</v>
      </c>
      <c r="E57" s="7" t="n">
        <f aca="false">D57/Summary!$B$4</f>
        <v>1.75830358869762E-005</v>
      </c>
      <c r="F57" s="6" t="n">
        <v>58</v>
      </c>
      <c r="G57" s="19" t="n">
        <v>1</v>
      </c>
      <c r="H57" s="19" t="n">
        <v>1124</v>
      </c>
      <c r="I57" s="20" t="n">
        <v>6.35119215079477</v>
      </c>
      <c r="J57" s="19" t="n">
        <v>2</v>
      </c>
      <c r="K57" s="5" t="s">
        <v>157</v>
      </c>
      <c r="L57" s="9" t="s">
        <v>21</v>
      </c>
      <c r="M57" s="5" t="s">
        <v>158</v>
      </c>
    </row>
    <row r="58" customFormat="false" ht="15" hidden="false" customHeight="false" outlineLevel="0" collapsed="false">
      <c r="A58" s="10" t="s">
        <v>159</v>
      </c>
      <c r="B58" s="11" t="s">
        <v>47</v>
      </c>
      <c r="C58" s="11" t="s">
        <v>69</v>
      </c>
      <c r="D58" s="12" t="n">
        <v>1</v>
      </c>
      <c r="E58" s="13" t="n">
        <f aca="false">D58/Summary!$B$4</f>
        <v>1.75830358869762E-005</v>
      </c>
      <c r="F58" s="12" t="n">
        <v>183</v>
      </c>
      <c r="G58" s="17" t="n">
        <v>1</v>
      </c>
      <c r="H58" s="17" t="n">
        <v>3000</v>
      </c>
      <c r="I58" s="18" t="n">
        <v>560.128815585877</v>
      </c>
      <c r="J58" s="17" t="n">
        <v>365</v>
      </c>
      <c r="K58" s="11" t="s">
        <v>160</v>
      </c>
      <c r="L58" s="15" t="s">
        <v>26</v>
      </c>
      <c r="M58" s="11"/>
    </row>
    <row r="59" customFormat="false" ht="15" hidden="false" customHeight="false" outlineLevel="0" collapsed="false">
      <c r="A59" s="4" t="s">
        <v>161</v>
      </c>
      <c r="B59" s="5" t="s">
        <v>47</v>
      </c>
      <c r="C59" s="5" t="s">
        <v>69</v>
      </c>
      <c r="D59" s="6" t="n">
        <v>1</v>
      </c>
      <c r="E59" s="7" t="n">
        <f aca="false">D59/Summary!$B$4</f>
        <v>1.75830358869762E-005</v>
      </c>
      <c r="F59" s="6" t="n">
        <v>58</v>
      </c>
      <c r="G59" s="19" t="n">
        <v>1</v>
      </c>
      <c r="H59" s="19" t="n">
        <v>1124</v>
      </c>
      <c r="I59" s="20" t="n">
        <v>6.35119215079477</v>
      </c>
      <c r="J59" s="19" t="n">
        <v>2</v>
      </c>
      <c r="K59" s="5" t="s">
        <v>157</v>
      </c>
      <c r="L59" s="16" t="s">
        <v>26</v>
      </c>
      <c r="M59" s="5"/>
    </row>
    <row r="60" customFormat="false" ht="15" hidden="false" customHeight="false" outlineLevel="0" collapsed="false">
      <c r="A60" s="10" t="s">
        <v>162</v>
      </c>
      <c r="B60" s="11" t="s">
        <v>47</v>
      </c>
      <c r="C60" s="11" t="s">
        <v>69</v>
      </c>
      <c r="D60" s="12" t="n">
        <v>1</v>
      </c>
      <c r="E60" s="13" t="n">
        <f aca="false">D60/Summary!$B$4</f>
        <v>1.75830358869762E-005</v>
      </c>
      <c r="F60" s="12" t="n">
        <v>68</v>
      </c>
      <c r="G60" s="17" t="n">
        <v>1</v>
      </c>
      <c r="H60" s="17" t="n">
        <v>1124</v>
      </c>
      <c r="I60" s="18" t="n">
        <v>7.57689196792798</v>
      </c>
      <c r="J60" s="17" t="n">
        <v>3</v>
      </c>
      <c r="K60" s="11" t="s">
        <v>163</v>
      </c>
      <c r="L60" s="15" t="s">
        <v>26</v>
      </c>
      <c r="M60" s="11"/>
    </row>
    <row r="61" customFormat="false" ht="15" hidden="false" customHeight="false" outlineLevel="0" collapsed="false">
      <c r="A61" s="4" t="s">
        <v>164</v>
      </c>
      <c r="B61" s="5" t="s">
        <v>47</v>
      </c>
      <c r="C61" s="5" t="s">
        <v>69</v>
      </c>
      <c r="D61" s="6" t="n">
        <v>1</v>
      </c>
      <c r="E61" s="7" t="n">
        <f aca="false">D61/Summary!$B$4</f>
        <v>1.75830358869762E-005</v>
      </c>
      <c r="F61" s="6" t="n">
        <v>181</v>
      </c>
      <c r="G61" s="19" t="n">
        <v>1</v>
      </c>
      <c r="H61" s="19" t="n">
        <v>3000</v>
      </c>
      <c r="I61" s="20" t="n">
        <v>492.238658742439</v>
      </c>
      <c r="J61" s="19" t="n">
        <v>365</v>
      </c>
      <c r="K61" s="5" t="s">
        <v>165</v>
      </c>
      <c r="L61" s="16" t="s">
        <v>26</v>
      </c>
      <c r="M61" s="5"/>
    </row>
    <row r="62" customFormat="false" ht="15" hidden="false" customHeight="false" outlineLevel="0" collapsed="false">
      <c r="A62" s="10" t="s">
        <v>166</v>
      </c>
      <c r="B62" s="11" t="s">
        <v>47</v>
      </c>
      <c r="C62" s="11" t="s">
        <v>69</v>
      </c>
      <c r="D62" s="12" t="n">
        <v>1</v>
      </c>
      <c r="E62" s="13" t="n">
        <f aca="false">D62/Summary!$B$4</f>
        <v>1.75830358869762E-005</v>
      </c>
      <c r="F62" s="12" t="n">
        <v>183</v>
      </c>
      <c r="G62" s="17" t="n">
        <v>1</v>
      </c>
      <c r="H62" s="17" t="n">
        <v>3000</v>
      </c>
      <c r="I62" s="18" t="n">
        <v>560.128815585877</v>
      </c>
      <c r="J62" s="17" t="n">
        <v>365</v>
      </c>
      <c r="K62" s="11" t="s">
        <v>160</v>
      </c>
      <c r="L62" s="15" t="s">
        <v>26</v>
      </c>
      <c r="M62" s="11"/>
    </row>
    <row r="63" customFormat="false" ht="15" hidden="false" customHeight="false" outlineLevel="0" collapsed="false">
      <c r="A63" s="4" t="s">
        <v>167</v>
      </c>
      <c r="B63" s="5" t="s">
        <v>47</v>
      </c>
      <c r="C63" s="5" t="s">
        <v>107</v>
      </c>
      <c r="D63" s="6" t="n">
        <v>0</v>
      </c>
      <c r="E63" s="7" t="n">
        <f aca="false">D63/Summary!$B$4</f>
        <v>0</v>
      </c>
      <c r="F63" s="6" t="n">
        <v>285</v>
      </c>
      <c r="G63" s="19" t="n">
        <v>1</v>
      </c>
      <c r="H63" s="19" t="n">
        <v>1124</v>
      </c>
      <c r="I63" s="20" t="n">
        <v>6.83959523851388</v>
      </c>
      <c r="J63" s="19" t="n">
        <v>2</v>
      </c>
      <c r="K63" s="5" t="s">
        <v>168</v>
      </c>
      <c r="L63" s="16" t="s">
        <v>26</v>
      </c>
      <c r="M63" s="5"/>
    </row>
    <row r="64" customFormat="false" ht="15" hidden="false" customHeight="false" outlineLevel="0" collapsed="false">
      <c r="A64" s="10" t="s">
        <v>169</v>
      </c>
      <c r="B64" s="11" t="s">
        <v>47</v>
      </c>
      <c r="C64" s="11" t="s">
        <v>107</v>
      </c>
      <c r="D64" s="12" t="n">
        <v>0</v>
      </c>
      <c r="E64" s="13" t="n">
        <f aca="false">D64/Summary!$B$4</f>
        <v>0</v>
      </c>
      <c r="F64" s="12" t="n">
        <v>3355</v>
      </c>
      <c r="G64" s="17" t="n">
        <v>1</v>
      </c>
      <c r="H64" s="17" t="n">
        <v>3000</v>
      </c>
      <c r="I64" s="18" t="n">
        <v>527.912271200746</v>
      </c>
      <c r="J64" s="17" t="n">
        <v>365</v>
      </c>
      <c r="K64" s="11" t="s">
        <v>165</v>
      </c>
      <c r="L64" s="15" t="s">
        <v>26</v>
      </c>
      <c r="M64" s="11"/>
    </row>
    <row r="65" customFormat="false" ht="15" hidden="false" customHeight="false" outlineLevel="0" collapsed="false">
      <c r="A65" s="4" t="s">
        <v>170</v>
      </c>
      <c r="B65" s="5" t="s">
        <v>47</v>
      </c>
      <c r="C65" s="5" t="s">
        <v>48</v>
      </c>
      <c r="D65" s="6" t="n">
        <v>56873</v>
      </c>
      <c r="E65" s="7" t="n">
        <f aca="false">D65/Summary!$B$4</f>
        <v>1</v>
      </c>
      <c r="F65" s="6" t="n">
        <v>0</v>
      </c>
      <c r="G65" s="8" t="s">
        <v>20</v>
      </c>
      <c r="H65" s="8" t="s">
        <v>20</v>
      </c>
      <c r="I65" s="8"/>
      <c r="J65" s="8"/>
      <c r="K65" s="5" t="s">
        <v>20</v>
      </c>
      <c r="L65" s="16" t="s">
        <v>26</v>
      </c>
      <c r="M65" s="5" t="s">
        <v>49</v>
      </c>
    </row>
    <row r="66" customFormat="false" ht="15" hidden="false" customHeight="false" outlineLevel="0" collapsed="false">
      <c r="A66" s="10" t="s">
        <v>171</v>
      </c>
      <c r="B66" s="11" t="s">
        <v>24</v>
      </c>
      <c r="C66" s="11" t="s">
        <v>85</v>
      </c>
      <c r="D66" s="12" t="n">
        <v>111</v>
      </c>
      <c r="E66" s="13" t="n">
        <f aca="false">D66/Summary!$B$4</f>
        <v>0.00195171698345436</v>
      </c>
      <c r="F66" s="12" t="n">
        <v>2</v>
      </c>
      <c r="G66" s="14" t="s">
        <v>20</v>
      </c>
      <c r="H66" s="14" t="s">
        <v>20</v>
      </c>
      <c r="I66" s="14"/>
      <c r="J66" s="14"/>
      <c r="K66" s="11" t="s">
        <v>172</v>
      </c>
      <c r="L66" s="15" t="s">
        <v>26</v>
      </c>
      <c r="M66" s="11" t="s">
        <v>98</v>
      </c>
    </row>
    <row r="67" customFormat="false" ht="15" hidden="false" customHeight="false" outlineLevel="0" collapsed="false">
      <c r="A67" s="4" t="s">
        <v>173</v>
      </c>
      <c r="B67" s="5" t="s">
        <v>16</v>
      </c>
      <c r="C67" s="5" t="s">
        <v>69</v>
      </c>
      <c r="D67" s="6" t="n">
        <v>0</v>
      </c>
      <c r="E67" s="7" t="n">
        <f aca="false">D67/Summary!$B$4</f>
        <v>0</v>
      </c>
      <c r="F67" s="6" t="n">
        <v>31</v>
      </c>
      <c r="G67" s="19" t="n">
        <v>0</v>
      </c>
      <c r="H67" s="19" t="n">
        <v>30</v>
      </c>
      <c r="I67" s="20" t="n">
        <v>14.2461800854536</v>
      </c>
      <c r="J67" s="19" t="n">
        <v>12</v>
      </c>
      <c r="K67" s="5" t="s">
        <v>174</v>
      </c>
      <c r="L67" s="16" t="s">
        <v>26</v>
      </c>
      <c r="M67" s="5"/>
    </row>
    <row r="68" customFormat="false" ht="15" hidden="false" customHeight="false" outlineLevel="0" collapsed="false">
      <c r="A68" s="10" t="s">
        <v>175</v>
      </c>
      <c r="B68" s="11" t="s">
        <v>16</v>
      </c>
      <c r="C68" s="11" t="s">
        <v>69</v>
      </c>
      <c r="D68" s="12" t="n">
        <v>0</v>
      </c>
      <c r="E68" s="13" t="n">
        <f aca="false">D68/Summary!$B$4</f>
        <v>0</v>
      </c>
      <c r="F68" s="12" t="n">
        <v>61</v>
      </c>
      <c r="G68" s="17" t="n">
        <v>0</v>
      </c>
      <c r="H68" s="17" t="n">
        <v>60</v>
      </c>
      <c r="I68" s="18" t="n">
        <v>28.4924129200148</v>
      </c>
      <c r="J68" s="17" t="n">
        <v>25</v>
      </c>
      <c r="K68" s="11" t="s">
        <v>176</v>
      </c>
      <c r="L68" s="15" t="s">
        <v>26</v>
      </c>
      <c r="M68" s="11"/>
    </row>
    <row r="69" customFormat="false" ht="15" hidden="false" customHeight="false" outlineLevel="0" collapsed="false">
      <c r="A69" s="4" t="s">
        <v>177</v>
      </c>
      <c r="B69" s="5" t="s">
        <v>16</v>
      </c>
      <c r="C69" s="5" t="s">
        <v>69</v>
      </c>
      <c r="D69" s="6" t="n">
        <v>0</v>
      </c>
      <c r="E69" s="7" t="n">
        <f aca="false">D69/Summary!$B$4</f>
        <v>0</v>
      </c>
      <c r="F69" s="6" t="n">
        <v>91</v>
      </c>
      <c r="G69" s="19" t="n">
        <v>0</v>
      </c>
      <c r="H69" s="19" t="n">
        <v>90</v>
      </c>
      <c r="I69" s="20" t="n">
        <v>49.0709299667681</v>
      </c>
      <c r="J69" s="19" t="n">
        <v>48</v>
      </c>
      <c r="K69" s="5" t="s">
        <v>178</v>
      </c>
      <c r="L69" s="16" t="s">
        <v>26</v>
      </c>
      <c r="M69" s="5"/>
    </row>
    <row r="70" customFormat="false" ht="15" hidden="false" customHeight="false" outlineLevel="0" collapsed="false">
      <c r="A70" s="10" t="s">
        <v>179</v>
      </c>
      <c r="B70" s="11" t="s">
        <v>16</v>
      </c>
      <c r="C70" s="11" t="s">
        <v>69</v>
      </c>
      <c r="D70" s="12" t="n">
        <v>0</v>
      </c>
      <c r="E70" s="13" t="n">
        <f aca="false">D70/Summary!$B$4</f>
        <v>0</v>
      </c>
      <c r="F70" s="12" t="n">
        <v>366</v>
      </c>
      <c r="G70" s="17" t="n">
        <v>0</v>
      </c>
      <c r="H70" s="17" t="n">
        <v>365</v>
      </c>
      <c r="I70" s="18" t="n">
        <v>231.571114588645</v>
      </c>
      <c r="J70" s="17" t="n">
        <v>269</v>
      </c>
      <c r="K70" s="11" t="s">
        <v>180</v>
      </c>
      <c r="L70" s="15" t="s">
        <v>26</v>
      </c>
      <c r="M70" s="11"/>
    </row>
    <row r="71" customFormat="false" ht="15" hidden="false" customHeight="false" outlineLevel="0" collapsed="false">
      <c r="A71" s="4" t="s">
        <v>181</v>
      </c>
      <c r="B71" s="5" t="s">
        <v>24</v>
      </c>
      <c r="C71" s="5" t="s">
        <v>33</v>
      </c>
      <c r="D71" s="6" t="n">
        <v>0</v>
      </c>
      <c r="E71" s="7" t="n">
        <f aca="false">D71/Summary!$B$4</f>
        <v>0</v>
      </c>
      <c r="F71" s="6" t="n">
        <v>2</v>
      </c>
      <c r="G71" s="8" t="s">
        <v>34</v>
      </c>
      <c r="H71" s="8" t="s">
        <v>35</v>
      </c>
      <c r="I71" s="8"/>
      <c r="J71" s="8"/>
      <c r="K71" s="5" t="s">
        <v>182</v>
      </c>
      <c r="L71" s="16" t="s">
        <v>26</v>
      </c>
      <c r="M71" s="5" t="s">
        <v>144</v>
      </c>
    </row>
    <row r="72" customFormat="false" ht="15" hidden="false" customHeight="false" outlineLevel="0" collapsed="false">
      <c r="A72" s="10" t="s">
        <v>183</v>
      </c>
      <c r="B72" s="11" t="s">
        <v>16</v>
      </c>
      <c r="C72" s="11" t="s">
        <v>69</v>
      </c>
      <c r="D72" s="12" t="n">
        <v>0</v>
      </c>
      <c r="E72" s="13" t="n">
        <f aca="false">D72/Summary!$B$4</f>
        <v>0</v>
      </c>
      <c r="F72" s="12" t="n">
        <v>508</v>
      </c>
      <c r="G72" s="17" t="n">
        <v>0</v>
      </c>
      <c r="H72" s="17" t="n">
        <v>919</v>
      </c>
      <c r="I72" s="18" t="n">
        <v>22.8760220139609</v>
      </c>
      <c r="J72" s="17" t="n">
        <v>3</v>
      </c>
      <c r="K72" s="11" t="s">
        <v>184</v>
      </c>
      <c r="L72" s="9" t="s">
        <v>21</v>
      </c>
      <c r="M72" s="11" t="s">
        <v>185</v>
      </c>
    </row>
    <row r="73" customFormat="false" ht="15" hidden="false" customHeight="false" outlineLevel="0" collapsed="false">
      <c r="A73" s="4" t="s">
        <v>186</v>
      </c>
      <c r="B73" s="5" t="s">
        <v>16</v>
      </c>
      <c r="C73" s="5" t="s">
        <v>69</v>
      </c>
      <c r="D73" s="6" t="n">
        <v>0</v>
      </c>
      <c r="E73" s="7" t="n">
        <f aca="false">D73/Summary!$B$4</f>
        <v>0</v>
      </c>
      <c r="F73" s="6" t="n">
        <v>115</v>
      </c>
      <c r="G73" s="19" t="n">
        <v>0</v>
      </c>
      <c r="H73" s="19" t="n">
        <v>172</v>
      </c>
      <c r="I73" s="20" t="n">
        <v>4.79674010514655</v>
      </c>
      <c r="J73" s="19" t="n">
        <v>1</v>
      </c>
      <c r="K73" s="5" t="s">
        <v>187</v>
      </c>
      <c r="L73" s="16" t="s">
        <v>26</v>
      </c>
      <c r="M73" s="5"/>
    </row>
    <row r="74" customFormat="false" ht="15" hidden="false" customHeight="false" outlineLevel="0" collapsed="false">
      <c r="A74" s="10" t="s">
        <v>188</v>
      </c>
      <c r="B74" s="11" t="s">
        <v>16</v>
      </c>
      <c r="C74" s="11" t="s">
        <v>69</v>
      </c>
      <c r="D74" s="12" t="n">
        <v>0</v>
      </c>
      <c r="E74" s="13" t="n">
        <f aca="false">D74/Summary!$B$4</f>
        <v>0</v>
      </c>
      <c r="F74" s="12" t="n">
        <v>19</v>
      </c>
      <c r="G74" s="17" t="n">
        <v>0</v>
      </c>
      <c r="H74" s="17" t="n">
        <v>24</v>
      </c>
      <c r="I74" s="18" t="n">
        <v>0.542858649974505</v>
      </c>
      <c r="J74" s="17" t="n">
        <v>0</v>
      </c>
      <c r="K74" s="11" t="s">
        <v>189</v>
      </c>
      <c r="L74" s="15" t="s">
        <v>26</v>
      </c>
      <c r="M74" s="11"/>
    </row>
    <row r="75" customFormat="false" ht="15" hidden="false" customHeight="false" outlineLevel="0" collapsed="false">
      <c r="A75" s="4" t="s">
        <v>190</v>
      </c>
      <c r="B75" s="5" t="s">
        <v>16</v>
      </c>
      <c r="C75" s="5" t="s">
        <v>69</v>
      </c>
      <c r="D75" s="6" t="n">
        <v>0</v>
      </c>
      <c r="E75" s="7" t="n">
        <f aca="false">D75/Summary!$B$4</f>
        <v>0</v>
      </c>
      <c r="F75" s="6" t="n">
        <v>185</v>
      </c>
      <c r="G75" s="19" t="n">
        <v>0</v>
      </c>
      <c r="H75" s="19" t="n">
        <v>184</v>
      </c>
      <c r="I75" s="20" t="n">
        <v>118.940393508343</v>
      </c>
      <c r="J75" s="19" t="n">
        <v>129</v>
      </c>
      <c r="K75" s="5" t="s">
        <v>191</v>
      </c>
      <c r="L75" s="16" t="s">
        <v>26</v>
      </c>
      <c r="M75" s="5"/>
    </row>
    <row r="76" customFormat="false" ht="15" hidden="false" customHeight="false" outlineLevel="0" collapsed="false">
      <c r="A76" s="10" t="s">
        <v>192</v>
      </c>
      <c r="B76" s="11" t="s">
        <v>16</v>
      </c>
      <c r="C76" s="11" t="s">
        <v>69</v>
      </c>
      <c r="D76" s="12" t="n">
        <v>0</v>
      </c>
      <c r="E76" s="13" t="n">
        <f aca="false">D76/Summary!$B$4</f>
        <v>0</v>
      </c>
      <c r="F76" s="12" t="n">
        <v>113</v>
      </c>
      <c r="G76" s="17" t="n">
        <v>0</v>
      </c>
      <c r="H76" s="17" t="n">
        <v>179</v>
      </c>
      <c r="I76" s="18" t="n">
        <v>4.58808221827581</v>
      </c>
      <c r="J76" s="17" t="n">
        <v>0</v>
      </c>
      <c r="K76" s="11" t="s">
        <v>193</v>
      </c>
      <c r="L76" s="15" t="s">
        <v>26</v>
      </c>
      <c r="M76" s="11"/>
    </row>
    <row r="77" customFormat="false" ht="15" hidden="false" customHeight="false" outlineLevel="0" collapsed="false">
      <c r="A77" s="4" t="s">
        <v>194</v>
      </c>
      <c r="B77" s="5" t="s">
        <v>16</v>
      </c>
      <c r="C77" s="5" t="s">
        <v>69</v>
      </c>
      <c r="D77" s="6" t="n">
        <v>0</v>
      </c>
      <c r="E77" s="7" t="n">
        <f aca="false">D77/Summary!$B$4</f>
        <v>0</v>
      </c>
      <c r="F77" s="6" t="n">
        <v>87</v>
      </c>
      <c r="G77" s="19" t="n">
        <v>0</v>
      </c>
      <c r="H77" s="19" t="n">
        <v>255</v>
      </c>
      <c r="I77" s="20" t="n">
        <v>28.6959189773706</v>
      </c>
      <c r="J77" s="19" t="n">
        <v>6</v>
      </c>
      <c r="K77" s="5" t="s">
        <v>187</v>
      </c>
      <c r="L77" s="16" t="s">
        <v>26</v>
      </c>
      <c r="M77" s="5"/>
    </row>
    <row r="78" customFormat="false" ht="15" hidden="false" customHeight="false" outlineLevel="0" collapsed="false">
      <c r="A78" s="10" t="s">
        <v>195</v>
      </c>
      <c r="B78" s="11" t="s">
        <v>47</v>
      </c>
      <c r="C78" s="11" t="s">
        <v>69</v>
      </c>
      <c r="D78" s="12" t="n">
        <v>5009</v>
      </c>
      <c r="E78" s="13" t="n">
        <f aca="false">D78/Summary!$B$4</f>
        <v>0.088073426757864</v>
      </c>
      <c r="F78" s="12" t="n">
        <v>9926</v>
      </c>
      <c r="G78" s="17" t="n">
        <v>0</v>
      </c>
      <c r="H78" s="17" t="n">
        <v>2327770</v>
      </c>
      <c r="I78" s="18" t="n">
        <v>4951.74830325467</v>
      </c>
      <c r="J78" s="17" t="n">
        <v>602</v>
      </c>
      <c r="K78" s="11" t="s">
        <v>196</v>
      </c>
      <c r="L78" s="15" t="s">
        <v>26</v>
      </c>
      <c r="M78" s="11" t="s">
        <v>197</v>
      </c>
    </row>
    <row r="79" customFormat="false" ht="15" hidden="false" customHeight="false" outlineLevel="0" collapsed="false">
      <c r="A79" s="4" t="s">
        <v>198</v>
      </c>
      <c r="B79" s="5" t="s">
        <v>24</v>
      </c>
      <c r="C79" s="5" t="s">
        <v>33</v>
      </c>
      <c r="D79" s="6" t="n">
        <v>16501</v>
      </c>
      <c r="E79" s="7" t="n">
        <f aca="false">D79/Summary!$B$4</f>
        <v>0.290137675170995</v>
      </c>
      <c r="F79" s="6" t="n">
        <v>4118</v>
      </c>
      <c r="G79" s="8" t="s">
        <v>199</v>
      </c>
      <c r="H79" s="8" t="s">
        <v>35</v>
      </c>
      <c r="I79" s="8"/>
      <c r="J79" s="8"/>
      <c r="K79" s="5" t="s">
        <v>200</v>
      </c>
      <c r="L79" s="16" t="s">
        <v>26</v>
      </c>
      <c r="M79" s="5" t="s">
        <v>144</v>
      </c>
    </row>
    <row r="80" customFormat="false" ht="15" hidden="false" customHeight="false" outlineLevel="0" collapsed="false">
      <c r="A80" s="10" t="s">
        <v>201</v>
      </c>
      <c r="B80" s="11" t="s">
        <v>24</v>
      </c>
      <c r="C80" s="11" t="s">
        <v>33</v>
      </c>
      <c r="D80" s="12" t="n">
        <v>16501</v>
      </c>
      <c r="E80" s="13" t="n">
        <f aca="false">D80/Summary!$B$4</f>
        <v>0.290137675170995</v>
      </c>
      <c r="F80" s="12" t="n">
        <v>2286</v>
      </c>
      <c r="G80" s="14" t="s">
        <v>202</v>
      </c>
      <c r="H80" s="14" t="s">
        <v>35</v>
      </c>
      <c r="I80" s="14"/>
      <c r="J80" s="14"/>
      <c r="K80" s="11" t="s">
        <v>203</v>
      </c>
      <c r="L80" s="15" t="s">
        <v>26</v>
      </c>
      <c r="M80" s="11" t="s">
        <v>144</v>
      </c>
    </row>
    <row r="81" customFormat="false" ht="23.85" hidden="false" customHeight="false" outlineLevel="0" collapsed="false">
      <c r="A81" s="4" t="s">
        <v>204</v>
      </c>
      <c r="B81" s="5" t="s">
        <v>47</v>
      </c>
      <c r="C81" s="5" t="s">
        <v>107</v>
      </c>
      <c r="D81" s="6" t="n">
        <v>16501</v>
      </c>
      <c r="E81" s="7" t="n">
        <f aca="false">D81/Summary!$B$4</f>
        <v>0.290137675170995</v>
      </c>
      <c r="F81" s="6" t="n">
        <v>143</v>
      </c>
      <c r="G81" s="19" t="n">
        <v>0</v>
      </c>
      <c r="H81" s="19" t="n">
        <v>5</v>
      </c>
      <c r="I81" s="20" t="n">
        <v>4.75329882096503</v>
      </c>
      <c r="J81" s="20" t="n">
        <v>4.88</v>
      </c>
      <c r="K81" s="5" t="s">
        <v>205</v>
      </c>
      <c r="L81" s="9" t="s">
        <v>21</v>
      </c>
      <c r="M81" s="5" t="s">
        <v>206</v>
      </c>
    </row>
    <row r="82" customFormat="false" ht="15" hidden="false" customHeight="false" outlineLevel="0" collapsed="false">
      <c r="A82" s="10" t="s">
        <v>207</v>
      </c>
      <c r="B82" s="11" t="s">
        <v>47</v>
      </c>
      <c r="C82" s="11" t="s">
        <v>107</v>
      </c>
      <c r="D82" s="12" t="n">
        <v>16506</v>
      </c>
      <c r="E82" s="13" t="n">
        <f aca="false">D82/Summary!$B$4</f>
        <v>0.29022559035043</v>
      </c>
      <c r="F82" s="12" t="n">
        <v>146</v>
      </c>
      <c r="G82" s="17" t="n">
        <v>0</v>
      </c>
      <c r="H82" s="17" t="n">
        <v>5</v>
      </c>
      <c r="I82" s="18" t="n">
        <v>4.77016944533902</v>
      </c>
      <c r="J82" s="18" t="n">
        <v>4.9</v>
      </c>
      <c r="K82" s="11" t="s">
        <v>208</v>
      </c>
      <c r="L82" s="15" t="s">
        <v>26</v>
      </c>
      <c r="M82" s="11"/>
    </row>
    <row r="83" customFormat="false" ht="15" hidden="false" customHeight="false" outlineLevel="0" collapsed="false">
      <c r="A83" s="4" t="s">
        <v>209</v>
      </c>
      <c r="B83" s="5" t="s">
        <v>47</v>
      </c>
      <c r="C83" s="5" t="s">
        <v>107</v>
      </c>
      <c r="D83" s="6" t="n">
        <v>16505</v>
      </c>
      <c r="E83" s="7" t="n">
        <f aca="false">D83/Summary!$B$4</f>
        <v>0.290208007314543</v>
      </c>
      <c r="F83" s="6" t="n">
        <v>161</v>
      </c>
      <c r="G83" s="19" t="n">
        <v>0</v>
      </c>
      <c r="H83" s="19" t="n">
        <v>5</v>
      </c>
      <c r="I83" s="20" t="n">
        <v>4.79027348394768</v>
      </c>
      <c r="J83" s="20" t="n">
        <v>4.92</v>
      </c>
      <c r="K83" s="5" t="s">
        <v>210</v>
      </c>
      <c r="L83" s="16" t="s">
        <v>26</v>
      </c>
      <c r="M83" s="5"/>
    </row>
    <row r="84" customFormat="false" ht="15" hidden="false" customHeight="false" outlineLevel="0" collapsed="false">
      <c r="A84" s="10" t="s">
        <v>211</v>
      </c>
      <c r="B84" s="11" t="s">
        <v>47</v>
      </c>
      <c r="C84" s="11" t="s">
        <v>107</v>
      </c>
      <c r="D84" s="12" t="n">
        <v>16510</v>
      </c>
      <c r="E84" s="13" t="n">
        <f aca="false">D84/Summary!$B$4</f>
        <v>0.290295922493978</v>
      </c>
      <c r="F84" s="12" t="n">
        <v>131</v>
      </c>
      <c r="G84" s="17" t="n">
        <v>0</v>
      </c>
      <c r="H84" s="17" t="n">
        <v>5</v>
      </c>
      <c r="I84" s="18" t="n">
        <v>4.84152441592548</v>
      </c>
      <c r="J84" s="18" t="n">
        <v>4.95</v>
      </c>
      <c r="K84" s="11" t="s">
        <v>212</v>
      </c>
      <c r="L84" s="15" t="s">
        <v>26</v>
      </c>
      <c r="M84" s="11"/>
    </row>
    <row r="85" customFormat="false" ht="15" hidden="false" customHeight="false" outlineLevel="0" collapsed="false">
      <c r="A85" s="4" t="s">
        <v>213</v>
      </c>
      <c r="B85" s="5" t="s">
        <v>47</v>
      </c>
      <c r="C85" s="5" t="s">
        <v>107</v>
      </c>
      <c r="D85" s="6" t="n">
        <v>16508</v>
      </c>
      <c r="E85" s="7" t="n">
        <f aca="false">D85/Summary!$B$4</f>
        <v>0.290260756422204</v>
      </c>
      <c r="F85" s="6" t="n">
        <v>146</v>
      </c>
      <c r="G85" s="19" t="n">
        <v>0</v>
      </c>
      <c r="H85" s="19" t="n">
        <v>5</v>
      </c>
      <c r="I85" s="20" t="n">
        <v>4.84791898922334</v>
      </c>
      <c r="J85" s="20" t="n">
        <v>4.97</v>
      </c>
      <c r="K85" s="5" t="s">
        <v>214</v>
      </c>
      <c r="L85" s="16" t="s">
        <v>26</v>
      </c>
      <c r="M85" s="5"/>
    </row>
    <row r="86" customFormat="false" ht="15" hidden="false" customHeight="false" outlineLevel="0" collapsed="false">
      <c r="A86" s="10" t="s">
        <v>215</v>
      </c>
      <c r="B86" s="11" t="s">
        <v>47</v>
      </c>
      <c r="C86" s="11" t="s">
        <v>107</v>
      </c>
      <c r="D86" s="12" t="n">
        <v>16508</v>
      </c>
      <c r="E86" s="13" t="n">
        <f aca="false">D86/Summary!$B$4</f>
        <v>0.290260756422204</v>
      </c>
      <c r="F86" s="12" t="n">
        <v>167</v>
      </c>
      <c r="G86" s="17" t="n">
        <v>0</v>
      </c>
      <c r="H86" s="17" t="n">
        <v>5</v>
      </c>
      <c r="I86" s="18" t="n">
        <v>4.72046797968537</v>
      </c>
      <c r="J86" s="18" t="n">
        <v>4.83</v>
      </c>
      <c r="K86" s="11" t="s">
        <v>216</v>
      </c>
      <c r="L86" s="15" t="s">
        <v>26</v>
      </c>
      <c r="M86" s="11"/>
    </row>
    <row r="87" customFormat="false" ht="15" hidden="false" customHeight="false" outlineLevel="0" collapsed="false">
      <c r="A87" s="4" t="s">
        <v>217</v>
      </c>
      <c r="B87" s="5" t="s">
        <v>47</v>
      </c>
      <c r="C87" s="5" t="s">
        <v>107</v>
      </c>
      <c r="D87" s="6" t="n">
        <v>16510</v>
      </c>
      <c r="E87" s="7" t="n">
        <f aca="false">D87/Summary!$B$4</f>
        <v>0.290295922493978</v>
      </c>
      <c r="F87" s="6" t="n">
        <v>156</v>
      </c>
      <c r="G87" s="19" t="n">
        <v>0</v>
      </c>
      <c r="H87" s="19" t="n">
        <v>5</v>
      </c>
      <c r="I87" s="20" t="n">
        <v>4.69002973019845</v>
      </c>
      <c r="J87" s="20" t="n">
        <v>4.81</v>
      </c>
      <c r="K87" s="5" t="s">
        <v>218</v>
      </c>
      <c r="L87" s="16" t="s">
        <v>26</v>
      </c>
      <c r="M87" s="5"/>
    </row>
    <row r="88" customFormat="false" ht="23.85" hidden="false" customHeight="false" outlineLevel="0" collapsed="false">
      <c r="A88" s="10" t="s">
        <v>219</v>
      </c>
      <c r="B88" s="11" t="s">
        <v>24</v>
      </c>
      <c r="C88" s="11" t="s">
        <v>42</v>
      </c>
      <c r="D88" s="12" t="n">
        <v>11072</v>
      </c>
      <c r="E88" s="13" t="n">
        <f aca="false">D88/Summary!$B$4</f>
        <v>0.194679373340601</v>
      </c>
      <c r="F88" s="12" t="n">
        <v>32177</v>
      </c>
      <c r="G88" s="14" t="s">
        <v>20</v>
      </c>
      <c r="H88" s="14" t="s">
        <v>20</v>
      </c>
      <c r="I88" s="14"/>
      <c r="J88" s="14"/>
      <c r="K88" s="11" t="s">
        <v>220</v>
      </c>
      <c r="L88" s="15" t="s">
        <v>26</v>
      </c>
      <c r="M88" s="11"/>
    </row>
    <row r="89" customFormat="false" ht="15" hidden="false" customHeight="false" outlineLevel="0" collapsed="false">
      <c r="A89" s="4" t="s">
        <v>221</v>
      </c>
      <c r="B89" s="5" t="s">
        <v>47</v>
      </c>
      <c r="C89" s="5" t="s">
        <v>48</v>
      </c>
      <c r="D89" s="6" t="n">
        <v>56873</v>
      </c>
      <c r="E89" s="7" t="n">
        <f aca="false">D89/Summary!$B$4</f>
        <v>1</v>
      </c>
      <c r="F89" s="6" t="n">
        <v>0</v>
      </c>
      <c r="G89" s="8" t="s">
        <v>20</v>
      </c>
      <c r="H89" s="8" t="s">
        <v>20</v>
      </c>
      <c r="I89" s="8"/>
      <c r="J89" s="8"/>
      <c r="K89" s="5" t="s">
        <v>20</v>
      </c>
      <c r="L89" s="16" t="s">
        <v>26</v>
      </c>
      <c r="M89" s="5" t="s">
        <v>49</v>
      </c>
    </row>
    <row r="90" customFormat="false" ht="15" hidden="false" customHeight="false" outlineLevel="0" collapsed="false">
      <c r="A90" s="10" t="s">
        <v>222</v>
      </c>
      <c r="B90" s="11" t="s">
        <v>16</v>
      </c>
      <c r="C90" s="11" t="s">
        <v>69</v>
      </c>
      <c r="D90" s="12" t="n">
        <v>0</v>
      </c>
      <c r="E90" s="13" t="n">
        <f aca="false">D90/Summary!$B$4</f>
        <v>0</v>
      </c>
      <c r="F90" s="12" t="n">
        <v>74</v>
      </c>
      <c r="G90" s="17" t="n">
        <v>1</v>
      </c>
      <c r="H90" s="17" t="n">
        <v>261</v>
      </c>
      <c r="I90" s="18" t="n">
        <v>12.3149297557716</v>
      </c>
      <c r="J90" s="17" t="n">
        <v>2</v>
      </c>
      <c r="K90" s="11" t="s">
        <v>223</v>
      </c>
      <c r="L90" s="15" t="s">
        <v>26</v>
      </c>
      <c r="M90" s="11"/>
    </row>
    <row r="91" customFormat="false" ht="23.85" hidden="false" customHeight="false" outlineLevel="0" collapsed="false">
      <c r="A91" s="4" t="s">
        <v>224</v>
      </c>
      <c r="B91" s="5" t="s">
        <v>16</v>
      </c>
      <c r="C91" s="5" t="s">
        <v>69</v>
      </c>
      <c r="D91" s="6" t="n">
        <v>0</v>
      </c>
      <c r="E91" s="7" t="n">
        <f aca="false">D91/Summary!$B$4</f>
        <v>0</v>
      </c>
      <c r="F91" s="6" t="n">
        <v>73</v>
      </c>
      <c r="G91" s="19" t="n">
        <v>0</v>
      </c>
      <c r="H91" s="19" t="n">
        <v>256</v>
      </c>
      <c r="I91" s="20" t="n">
        <v>10.5990188665975</v>
      </c>
      <c r="J91" s="19" t="n">
        <v>2</v>
      </c>
      <c r="K91" s="5" t="s">
        <v>225</v>
      </c>
      <c r="L91" s="16" t="s">
        <v>26</v>
      </c>
      <c r="M91" s="5"/>
    </row>
    <row r="92" customFormat="false" ht="23.85" hidden="false" customHeight="false" outlineLevel="0" collapsed="false">
      <c r="A92" s="10" t="s">
        <v>226</v>
      </c>
      <c r="B92" s="11" t="s">
        <v>16</v>
      </c>
      <c r="C92" s="11" t="s">
        <v>69</v>
      </c>
      <c r="D92" s="12" t="n">
        <v>0</v>
      </c>
      <c r="E92" s="13" t="n">
        <f aca="false">D92/Summary!$B$4</f>
        <v>0</v>
      </c>
      <c r="F92" s="12" t="n">
        <v>26</v>
      </c>
      <c r="G92" s="17" t="n">
        <v>0</v>
      </c>
      <c r="H92" s="17" t="n">
        <v>47</v>
      </c>
      <c r="I92" s="18" t="n">
        <v>1.68065690222074</v>
      </c>
      <c r="J92" s="17" t="n">
        <v>0</v>
      </c>
      <c r="K92" s="11" t="s">
        <v>227</v>
      </c>
      <c r="L92" s="15" t="s">
        <v>26</v>
      </c>
      <c r="M92" s="11"/>
    </row>
    <row r="93" customFormat="false" ht="23.85" hidden="false" customHeight="false" outlineLevel="0" collapsed="false">
      <c r="A93" s="4" t="s">
        <v>228</v>
      </c>
      <c r="B93" s="5" t="s">
        <v>16</v>
      </c>
      <c r="C93" s="5" t="s">
        <v>69</v>
      </c>
      <c r="D93" s="6" t="n">
        <v>0</v>
      </c>
      <c r="E93" s="7" t="n">
        <f aca="false">D93/Summary!$B$4</f>
        <v>0</v>
      </c>
      <c r="F93" s="6" t="n">
        <v>7</v>
      </c>
      <c r="G93" s="19" t="n">
        <v>0</v>
      </c>
      <c r="H93" s="19" t="n">
        <v>19</v>
      </c>
      <c r="I93" s="20" t="n">
        <v>0.0161588099801312</v>
      </c>
      <c r="J93" s="19" t="n">
        <v>0</v>
      </c>
      <c r="K93" s="5" t="s">
        <v>229</v>
      </c>
      <c r="L93" s="16" t="s">
        <v>26</v>
      </c>
      <c r="M93" s="5"/>
    </row>
    <row r="94" customFormat="false" ht="15" hidden="false" customHeight="false" outlineLevel="0" collapsed="false">
      <c r="A94" s="10" t="s">
        <v>230</v>
      </c>
      <c r="B94" s="11" t="s">
        <v>47</v>
      </c>
      <c r="C94" s="11" t="s">
        <v>107</v>
      </c>
      <c r="D94" s="12" t="n">
        <v>16501</v>
      </c>
      <c r="E94" s="13" t="n">
        <f aca="false">D94/Summary!$B$4</f>
        <v>0.290137675170995</v>
      </c>
      <c r="F94" s="12" t="n">
        <v>692</v>
      </c>
      <c r="G94" s="18" t="n">
        <v>0.01</v>
      </c>
      <c r="H94" s="18" t="n">
        <v>11.16</v>
      </c>
      <c r="I94" s="18" t="n">
        <v>0.716578321609036</v>
      </c>
      <c r="J94" s="18" t="n">
        <v>0.33</v>
      </c>
      <c r="K94" s="11" t="s">
        <v>231</v>
      </c>
      <c r="L94" s="15" t="s">
        <v>26</v>
      </c>
      <c r="M94" s="11"/>
    </row>
    <row r="96" customFormat="false" ht="15" hidden="false" customHeight="false" outlineLevel="0" collapsed="false">
      <c r="A96" s="21" t="s">
        <v>232</v>
      </c>
    </row>
    <row r="97" customFormat="false" ht="15" hidden="false" customHeight="false" outlineLevel="0" collapsed="false">
      <c r="A97" s="22" t="s">
        <v>233</v>
      </c>
    </row>
    <row r="98" customFormat="false" ht="15" hidden="false" customHeight="false" outlineLevel="0" collapsed="false">
      <c r="A98" s="23" t="s">
        <v>234</v>
      </c>
    </row>
    <row r="99" customFormat="false" ht="15" hidden="false" customHeight="false" outlineLevel="0" collapsed="false">
      <c r="A99" s="24" t="s">
        <v>235</v>
      </c>
    </row>
    <row r="100" customFormat="false" ht="15" hidden="false" customHeight="false" outlineLevel="0" collapsed="false">
      <c r="A100" s="25" t="s">
        <v>236</v>
      </c>
    </row>
  </sheetData>
  <autoFilter ref="A4:M94"/>
  <mergeCells count="1">
    <mergeCell ref="A2:M2"/>
  </mergeCells>
  <conditionalFormatting sqref="E5:E94">
    <cfRule type="cellIs" priority="2" operator="greaterThanOrEqual" aboveAverage="0" equalAverage="0" bottom="0" percent="0" rank="0" text="" dxfId="7">
      <formula>0.5</formula>
    </cfRule>
    <cfRule type="cellIs" priority="3" operator="between" aboveAverage="0" equalAverage="0" bottom="0" percent="0" rank="0" text="" dxfId="8">
      <formula>0.1</formula>
      <formula>0.4999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237</v>
      </c>
    </row>
    <row r="3" customFormat="false" ht="30" hidden="false" customHeight="true" outlineLevel="0" collapsed="false">
      <c r="A3" s="3" t="s">
        <v>238</v>
      </c>
      <c r="B3" s="3" t="s">
        <v>239</v>
      </c>
      <c r="C3" s="3" t="s">
        <v>240</v>
      </c>
    </row>
    <row r="4" customFormat="false" ht="15" hidden="false" customHeight="false" outlineLevel="0" collapsed="false">
      <c r="A4" s="26" t="s">
        <v>241</v>
      </c>
      <c r="B4" s="27" t="n">
        <v>56873</v>
      </c>
      <c r="C4" s="28" t="s">
        <v>242</v>
      </c>
    </row>
    <row r="5" customFormat="false" ht="15" hidden="false" customHeight="false" outlineLevel="0" collapsed="false">
      <c r="A5" s="26" t="s">
        <v>243</v>
      </c>
      <c r="B5" s="29" t="n">
        <f aca="false">COUNTA('Data Profile'!$A$5:$A$94)</f>
        <v>90</v>
      </c>
      <c r="C5" s="28" t="s">
        <v>244</v>
      </c>
    </row>
    <row r="6" customFormat="false" ht="15" hidden="false" customHeight="false" outlineLevel="0" collapsed="false">
      <c r="A6" s="26" t="s">
        <v>245</v>
      </c>
      <c r="B6" s="29" t="n">
        <f aca="false">COUNTIF('Data Profile'!$L$5:$L$94,"Yes")</f>
        <v>14</v>
      </c>
      <c r="C6" s="28" t="s">
        <v>246</v>
      </c>
    </row>
    <row r="7" customFormat="false" ht="15" hidden="false" customHeight="false" outlineLevel="0" collapsed="false">
      <c r="A7" s="26" t="s">
        <v>247</v>
      </c>
      <c r="B7" s="29" t="n">
        <f aca="false">COUNTIF('Data Profile'!$E$5:$E$94,1)</f>
        <v>13</v>
      </c>
      <c r="C7" s="28" t="s">
        <v>248</v>
      </c>
    </row>
    <row r="8" customFormat="false" ht="15" hidden="false" customHeight="false" outlineLevel="0" collapsed="false">
      <c r="A8" s="26" t="s">
        <v>249</v>
      </c>
      <c r="B8" s="29" t="n">
        <f aca="false">COUNTIF('Data Profile'!$E$5:$E$94,"&gt;0.5")</f>
        <v>14</v>
      </c>
      <c r="C8" s="28" t="s">
        <v>250</v>
      </c>
    </row>
    <row r="9" customFormat="false" ht="15" hidden="false" customHeight="false" outlineLevel="0" collapsed="false">
      <c r="A9" s="26" t="s">
        <v>251</v>
      </c>
      <c r="B9" s="29" t="n">
        <f aca="false">COUNTIFS('Data Profile'!$E$5:$E$94,"&gt;=0.1",'Data Profile'!$E$5:$E$94,"&lt;=0.5")</f>
        <v>15</v>
      </c>
      <c r="C9" s="28" t="s">
        <v>252</v>
      </c>
    </row>
    <row r="10" customFormat="false" ht="15" hidden="false" customHeight="false" outlineLevel="0" collapsed="false">
      <c r="A10" s="26" t="s">
        <v>253</v>
      </c>
      <c r="B10" s="29" t="n">
        <f aca="false">COUNTIF('Data Profile'!$E$5:$E$94,0)</f>
        <v>42</v>
      </c>
      <c r="C10" s="28" t="s">
        <v>254</v>
      </c>
    </row>
    <row r="11" customFormat="false" ht="15" hidden="false" customHeight="false" outlineLevel="0" collapsed="false">
      <c r="A11" s="26" t="s">
        <v>255</v>
      </c>
      <c r="B11" s="29" t="n">
        <f aca="false">COUNTIF('Data Profile'!$F$5:$F$94,1)</f>
        <v>1</v>
      </c>
      <c r="C11" s="28" t="s">
        <v>256</v>
      </c>
    </row>
    <row r="12" customFormat="false" ht="15" hidden="false" customHeight="false" outlineLevel="0" collapsed="false">
      <c r="A12" s="26" t="s">
        <v>257</v>
      </c>
      <c r="B12" s="29" t="n">
        <f aca="false">COUNTIF('Data Profile'!$B$5:$B$94,"int64")+COUNTIF('Data Profile'!$B$5:$B$94,"float64")</f>
        <v>61</v>
      </c>
      <c r="C12" s="28" t="s">
        <v>258</v>
      </c>
    </row>
    <row r="13" customFormat="false" ht="15" hidden="false" customHeight="false" outlineLevel="0" collapsed="false">
      <c r="A13" s="26" t="s">
        <v>259</v>
      </c>
      <c r="B13" s="29" t="n">
        <f aca="false">COUNTIF('Data Profile'!$B$5:$B$94,"object (text)")</f>
        <v>29</v>
      </c>
      <c r="C13" s="28" t="s">
        <v>260</v>
      </c>
    </row>
    <row r="14" customFormat="false" ht="15" hidden="false" customHeight="false" outlineLevel="0" collapsed="false">
      <c r="A14" s="26" t="s">
        <v>261</v>
      </c>
      <c r="B14" s="29" t="n">
        <f aca="false">SUM('Data Profile'!$D$5:$D$94)</f>
        <v>1024141</v>
      </c>
      <c r="C14" s="28" t="s">
        <v>262</v>
      </c>
    </row>
    <row r="15" customFormat="false" ht="15" hidden="false" customHeight="false" outlineLevel="0" collapsed="false">
      <c r="A15" s="26" t="s">
        <v>263</v>
      </c>
      <c r="B15" s="29" t="n">
        <f aca="false">B4*B5</f>
        <v>5118570</v>
      </c>
      <c r="C15" s="28" t="s">
        <v>264</v>
      </c>
    </row>
    <row r="16" customFormat="false" ht="15" hidden="false" customHeight="false" outlineLevel="0" collapsed="false">
      <c r="A16" s="26" t="s">
        <v>265</v>
      </c>
      <c r="B16" s="30" t="n">
        <f aca="false">B14/B15</f>
        <v>0.20008342173693</v>
      </c>
      <c r="C16" s="28" t="s">
        <v>266</v>
      </c>
    </row>
    <row r="17" customFormat="false" ht="15" hidden="false" customHeight="false" outlineLevel="0" collapsed="false">
      <c r="A17" s="26" t="s">
        <v>267</v>
      </c>
      <c r="B17" s="27" t="n">
        <v>0</v>
      </c>
      <c r="C17" s="28" t="s">
        <v>268</v>
      </c>
    </row>
    <row r="18" customFormat="false" ht="15" hidden="false" customHeight="false" outlineLevel="0" collapsed="false">
      <c r="A18" s="26" t="s">
        <v>269</v>
      </c>
      <c r="B18" s="27" t="n">
        <v>0</v>
      </c>
      <c r="C18" s="28" t="s">
        <v>270</v>
      </c>
    </row>
    <row r="19" customFormat="false" ht="15" hidden="false" customHeight="false" outlineLevel="0" collapsed="false">
      <c r="A19" s="26" t="s">
        <v>271</v>
      </c>
      <c r="B19" s="27" t="n">
        <v>51864</v>
      </c>
      <c r="C19" s="28" t="s">
        <v>272</v>
      </c>
    </row>
    <row r="20" customFormat="false" ht="15" hidden="false" customHeight="false" outlineLevel="0" collapsed="false">
      <c r="A20" s="26" t="s">
        <v>273</v>
      </c>
      <c r="B20" s="29" t="n">
        <f aca="false">B4-B19</f>
        <v>5009</v>
      </c>
      <c r="C20" s="28" t="s">
        <v>274</v>
      </c>
    </row>
    <row r="21" customFormat="false" ht="15" hidden="false" customHeight="false" outlineLevel="0" collapsed="false">
      <c r="A21" s="26" t="s">
        <v>275</v>
      </c>
      <c r="B21" s="30" t="n">
        <f aca="false">B20/B4</f>
        <v>0.088073426757864</v>
      </c>
      <c r="C21" s="28" t="s">
        <v>276</v>
      </c>
    </row>
    <row r="22" customFormat="false" ht="15" hidden="false" customHeight="false" outlineLevel="0" collapsed="false">
      <c r="A22" s="26" t="s">
        <v>277</v>
      </c>
      <c r="B22" s="27" t="n">
        <v>16501</v>
      </c>
      <c r="C22" s="28" t="s">
        <v>278</v>
      </c>
    </row>
    <row r="23" customFormat="false" ht="15" hidden="false" customHeight="false" outlineLevel="0" collapsed="false">
      <c r="A23" s="26" t="s">
        <v>279</v>
      </c>
      <c r="B23" s="30" t="n">
        <f aca="false">B22/B4</f>
        <v>0.290137675170995</v>
      </c>
      <c r="C23" s="28"/>
    </row>
    <row r="24" customFormat="false" ht="15" hidden="false" customHeight="false" outlineLevel="0" collapsed="false">
      <c r="A24" s="26" t="s">
        <v>280</v>
      </c>
      <c r="B24" s="31" t="s">
        <v>281</v>
      </c>
      <c r="C24" s="28" t="s">
        <v>282</v>
      </c>
    </row>
    <row r="25" customFormat="false" ht="15" hidden="false" customHeight="false" outlineLevel="0" collapsed="false">
      <c r="A25" s="26" t="s">
        <v>283</v>
      </c>
      <c r="B25" s="31" t="s">
        <v>284</v>
      </c>
      <c r="C25" s="28" t="s">
        <v>285</v>
      </c>
    </row>
    <row r="26" customFormat="false" ht="15" hidden="false" customHeight="false" outlineLevel="0" collapsed="false">
      <c r="A26" s="26" t="s">
        <v>286</v>
      </c>
      <c r="B26" s="31" t="s">
        <v>287</v>
      </c>
      <c r="C26" s="28" t="s">
        <v>288</v>
      </c>
    </row>
    <row r="28" customFormat="false" ht="15" hidden="false" customHeight="false" outlineLevel="0" collapsed="false">
      <c r="A28" s="25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4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290</v>
      </c>
    </row>
    <row r="3" customFormat="false" ht="30" hidden="false" customHeight="true" outlineLevel="0" collapsed="false">
      <c r="A3" s="3" t="s">
        <v>2</v>
      </c>
      <c r="B3" s="3" t="s">
        <v>291</v>
      </c>
      <c r="C3" s="3" t="s">
        <v>10</v>
      </c>
      <c r="D3" s="3" t="s">
        <v>292</v>
      </c>
      <c r="E3" s="3" t="s">
        <v>8</v>
      </c>
      <c r="F3" s="3" t="s">
        <v>293</v>
      </c>
      <c r="G3" s="3" t="s">
        <v>294</v>
      </c>
      <c r="H3" s="3" t="s">
        <v>295</v>
      </c>
      <c r="I3" s="3" t="s">
        <v>9</v>
      </c>
    </row>
    <row r="4" customFormat="false" ht="15" hidden="false" customHeight="false" outlineLevel="0" collapsed="false">
      <c r="A4" s="32" t="s">
        <v>68</v>
      </c>
      <c r="B4" s="33" t="n">
        <v>56873</v>
      </c>
      <c r="C4" s="34" t="n">
        <v>6.47101436534032</v>
      </c>
      <c r="D4" s="34" t="n">
        <v>4.15084401468841</v>
      </c>
      <c r="E4" s="34" t="n">
        <v>0</v>
      </c>
      <c r="F4" s="34" t="n">
        <v>3</v>
      </c>
      <c r="G4" s="34" t="n">
        <v>7</v>
      </c>
      <c r="H4" s="34" t="n">
        <v>10</v>
      </c>
      <c r="I4" s="34" t="n">
        <v>17</v>
      </c>
    </row>
    <row r="5" customFormat="false" ht="15" hidden="false" customHeight="false" outlineLevel="0" collapsed="false">
      <c r="A5" s="35" t="s">
        <v>71</v>
      </c>
      <c r="B5" s="36" t="n">
        <v>56873</v>
      </c>
      <c r="C5" s="37" t="n">
        <v>5.23642150053628</v>
      </c>
      <c r="D5" s="37" t="n">
        <v>3.78765633245045</v>
      </c>
      <c r="E5" s="37" t="n">
        <v>0</v>
      </c>
      <c r="F5" s="37" t="n">
        <v>2</v>
      </c>
      <c r="G5" s="37" t="n">
        <v>5</v>
      </c>
      <c r="H5" s="37" t="n">
        <v>9</v>
      </c>
      <c r="I5" s="37" t="n">
        <v>11</v>
      </c>
    </row>
    <row r="6" customFormat="false" ht="15" hidden="false" customHeight="false" outlineLevel="0" collapsed="false">
      <c r="A6" s="32" t="s">
        <v>73</v>
      </c>
      <c r="B6" s="33" t="n">
        <v>56872</v>
      </c>
      <c r="C6" s="34" t="n">
        <v>5.51557884371923</v>
      </c>
      <c r="D6" s="34" t="n">
        <v>4.10828743603606</v>
      </c>
      <c r="E6" s="34" t="n">
        <v>0</v>
      </c>
      <c r="F6" s="34" t="n">
        <v>2</v>
      </c>
      <c r="G6" s="34" t="n">
        <v>5</v>
      </c>
      <c r="H6" s="34" t="n">
        <v>9</v>
      </c>
      <c r="I6" s="34" t="n">
        <v>15</v>
      </c>
    </row>
    <row r="7" customFormat="false" ht="15" hidden="false" customHeight="false" outlineLevel="0" collapsed="false">
      <c r="A7" s="35" t="s">
        <v>75</v>
      </c>
      <c r="B7" s="36" t="n">
        <v>56872</v>
      </c>
      <c r="C7" s="37" t="n">
        <v>4.97949781966521</v>
      </c>
      <c r="D7" s="37" t="n">
        <v>3.82811510688219</v>
      </c>
      <c r="E7" s="37" t="n">
        <v>0</v>
      </c>
      <c r="F7" s="37" t="n">
        <v>1</v>
      </c>
      <c r="G7" s="37" t="n">
        <v>4</v>
      </c>
      <c r="H7" s="37" t="n">
        <v>9</v>
      </c>
      <c r="I7" s="37" t="n">
        <v>11</v>
      </c>
    </row>
    <row r="8" customFormat="false" ht="15" hidden="false" customHeight="false" outlineLevel="0" collapsed="false">
      <c r="A8" s="32" t="s">
        <v>92</v>
      </c>
      <c r="B8" s="33" t="n">
        <v>56873</v>
      </c>
      <c r="C8" s="34" t="n">
        <v>47.1678828266489</v>
      </c>
      <c r="D8" s="34" t="n">
        <v>182.250137027259</v>
      </c>
      <c r="E8" s="34" t="n">
        <v>1</v>
      </c>
      <c r="F8" s="34" t="n">
        <v>1</v>
      </c>
      <c r="G8" s="34" t="n">
        <v>3</v>
      </c>
      <c r="H8" s="34" t="n">
        <v>6</v>
      </c>
      <c r="I8" s="34" t="n">
        <v>6243</v>
      </c>
    </row>
    <row r="9" customFormat="false" ht="15" hidden="false" customHeight="false" outlineLevel="0" collapsed="false">
      <c r="A9" s="35" t="s">
        <v>106</v>
      </c>
      <c r="B9" s="36" t="n">
        <v>56873</v>
      </c>
      <c r="C9" s="37" t="n">
        <v>37.6458218948746</v>
      </c>
      <c r="D9" s="37" t="n">
        <v>0.531949302891538</v>
      </c>
      <c r="E9" s="37" t="n">
        <v>35.49456</v>
      </c>
      <c r="F9" s="37" t="n">
        <v>37.2615776062012</v>
      </c>
      <c r="G9" s="37" t="n">
        <v>37.80874</v>
      </c>
      <c r="H9" s="37" t="n">
        <v>38.10575</v>
      </c>
      <c r="I9" s="37" t="n">
        <v>38.81024</v>
      </c>
    </row>
    <row r="10" customFormat="false" ht="15" hidden="false" customHeight="false" outlineLevel="0" collapsed="false">
      <c r="A10" s="32" t="s">
        <v>110</v>
      </c>
      <c r="B10" s="33" t="n">
        <v>56873</v>
      </c>
      <c r="C10" s="34" t="n">
        <v>14.1417487476139</v>
      </c>
      <c r="D10" s="34" t="n">
        <v>1.02148636830524</v>
      </c>
      <c r="E10" s="34" t="n">
        <v>11.9288473129273</v>
      </c>
      <c r="F10" s="34" t="n">
        <v>13.32782</v>
      </c>
      <c r="G10" s="34" t="n">
        <v>14.5193</v>
      </c>
      <c r="H10" s="34" t="n">
        <v>15.09685</v>
      </c>
      <c r="I10" s="34" t="n">
        <v>15.65168</v>
      </c>
    </row>
    <row r="11" customFormat="false" ht="15" hidden="false" customHeight="false" outlineLevel="0" collapsed="false">
      <c r="A11" s="35" t="s">
        <v>119</v>
      </c>
      <c r="B11" s="36" t="n">
        <v>56873</v>
      </c>
      <c r="C11" s="37" t="n">
        <v>4.36017090710882</v>
      </c>
      <c r="D11" s="37" t="n">
        <v>2.33985698419314</v>
      </c>
      <c r="E11" s="37" t="n">
        <v>1</v>
      </c>
      <c r="F11" s="37" t="n">
        <v>3</v>
      </c>
      <c r="G11" s="37" t="n">
        <v>4</v>
      </c>
      <c r="H11" s="37" t="n">
        <v>5</v>
      </c>
      <c r="I11" s="37" t="n">
        <v>16</v>
      </c>
    </row>
    <row r="12" customFormat="false" ht="15" hidden="false" customHeight="false" outlineLevel="0" collapsed="false">
      <c r="A12" s="32" t="s">
        <v>122</v>
      </c>
      <c r="B12" s="33" t="n">
        <v>48026</v>
      </c>
      <c r="C12" s="34" t="n">
        <v>1.43252613167867</v>
      </c>
      <c r="D12" s="34" t="n">
        <v>0.941219881745448</v>
      </c>
      <c r="E12" s="34" t="n">
        <v>0.5</v>
      </c>
      <c r="F12" s="34" t="n">
        <v>1</v>
      </c>
      <c r="G12" s="34" t="n">
        <v>1</v>
      </c>
      <c r="H12" s="34" t="n">
        <v>2</v>
      </c>
      <c r="I12" s="34" t="n">
        <v>19</v>
      </c>
    </row>
    <row r="13" customFormat="false" ht="15" hidden="false" customHeight="false" outlineLevel="0" collapsed="false">
      <c r="A13" s="35" t="s">
        <v>128</v>
      </c>
      <c r="B13" s="36" t="n">
        <v>48360</v>
      </c>
      <c r="C13" s="37" t="n">
        <v>1.87258064516129</v>
      </c>
      <c r="D13" s="37" t="n">
        <v>1.15961641433966</v>
      </c>
      <c r="E13" s="37" t="n">
        <v>0</v>
      </c>
      <c r="F13" s="37" t="n">
        <v>1</v>
      </c>
      <c r="G13" s="37" t="n">
        <v>2</v>
      </c>
      <c r="H13" s="37" t="n">
        <v>2</v>
      </c>
      <c r="I13" s="37" t="n">
        <v>22</v>
      </c>
    </row>
    <row r="14" customFormat="false" ht="15" hidden="false" customHeight="false" outlineLevel="0" collapsed="false">
      <c r="A14" s="32" t="s">
        <v>131</v>
      </c>
      <c r="B14" s="33" t="n">
        <v>50044</v>
      </c>
      <c r="C14" s="34" t="n">
        <v>2.75805291343618</v>
      </c>
      <c r="D14" s="34" t="n">
        <v>1.87295308369417</v>
      </c>
      <c r="E14" s="34" t="n">
        <v>1</v>
      </c>
      <c r="F14" s="34" t="n">
        <v>1</v>
      </c>
      <c r="G14" s="34" t="n">
        <v>2</v>
      </c>
      <c r="H14" s="34" t="n">
        <v>4</v>
      </c>
      <c r="I14" s="34" t="n">
        <v>30</v>
      </c>
    </row>
    <row r="15" customFormat="false" ht="15" hidden="false" customHeight="false" outlineLevel="0" collapsed="false">
      <c r="A15" s="35" t="s">
        <v>148</v>
      </c>
      <c r="B15" s="36" t="n">
        <v>51863</v>
      </c>
      <c r="C15" s="37" t="n">
        <v>1070.30117559725</v>
      </c>
      <c r="D15" s="37" t="n">
        <v>15139.5892431114</v>
      </c>
      <c r="E15" s="37" t="n">
        <v>13</v>
      </c>
      <c r="F15" s="37" t="n">
        <v>160</v>
      </c>
      <c r="G15" s="37" t="n">
        <v>321</v>
      </c>
      <c r="H15" s="37" t="n">
        <v>856</v>
      </c>
      <c r="I15" s="37" t="n">
        <v>2743331</v>
      </c>
    </row>
    <row r="16" customFormat="false" ht="15" hidden="false" customHeight="false" outlineLevel="0" collapsed="false">
      <c r="A16" s="32" t="s">
        <v>150</v>
      </c>
      <c r="B16" s="33" t="n">
        <v>51863</v>
      </c>
      <c r="C16" s="34" t="n">
        <v>193.845786977228</v>
      </c>
      <c r="D16" s="34" t="n">
        <v>554.647439025679</v>
      </c>
      <c r="E16" s="34" t="n">
        <v>2.02</v>
      </c>
      <c r="F16" s="34" t="n">
        <v>90</v>
      </c>
      <c r="G16" s="34" t="n">
        <v>126</v>
      </c>
      <c r="H16" s="34" t="n">
        <v>194</v>
      </c>
      <c r="I16" s="34" t="n">
        <v>88494.55</v>
      </c>
    </row>
    <row r="17" customFormat="false" ht="15" hidden="false" customHeight="false" outlineLevel="0" collapsed="false">
      <c r="A17" s="35" t="s">
        <v>156</v>
      </c>
      <c r="B17" s="36" t="n">
        <v>56872</v>
      </c>
      <c r="C17" s="37" t="n">
        <v>6.35119215079477</v>
      </c>
      <c r="D17" s="37" t="n">
        <v>15.2361681909231</v>
      </c>
      <c r="E17" s="37" t="n">
        <v>1</v>
      </c>
      <c r="F17" s="37" t="n">
        <v>1</v>
      </c>
      <c r="G17" s="37" t="n">
        <v>2</v>
      </c>
      <c r="H17" s="37" t="n">
        <v>3</v>
      </c>
      <c r="I17" s="37" t="n">
        <v>1124</v>
      </c>
    </row>
    <row r="18" customFormat="false" ht="15" hidden="false" customHeight="false" outlineLevel="0" collapsed="false">
      <c r="A18" s="32" t="s">
        <v>159</v>
      </c>
      <c r="B18" s="33" t="n">
        <v>56872</v>
      </c>
      <c r="C18" s="34" t="n">
        <v>560.128815585877</v>
      </c>
      <c r="D18" s="34" t="n">
        <v>462.409064987203</v>
      </c>
      <c r="E18" s="34" t="n">
        <v>1</v>
      </c>
      <c r="F18" s="34" t="n">
        <v>60</v>
      </c>
      <c r="G18" s="34" t="n">
        <v>365</v>
      </c>
      <c r="H18" s="34" t="n">
        <v>1125</v>
      </c>
      <c r="I18" s="34" t="n">
        <v>3000</v>
      </c>
    </row>
    <row r="19" customFormat="false" ht="15" hidden="false" customHeight="false" outlineLevel="0" collapsed="false">
      <c r="A19" s="35" t="s">
        <v>161</v>
      </c>
      <c r="B19" s="36" t="n">
        <v>56872</v>
      </c>
      <c r="C19" s="37" t="n">
        <v>6.35119215079477</v>
      </c>
      <c r="D19" s="37" t="n">
        <v>15.2361681909231</v>
      </c>
      <c r="E19" s="37" t="n">
        <v>1</v>
      </c>
      <c r="F19" s="37" t="n">
        <v>1</v>
      </c>
      <c r="G19" s="37" t="n">
        <v>2</v>
      </c>
      <c r="H19" s="37" t="n">
        <v>3</v>
      </c>
      <c r="I19" s="37" t="n">
        <v>1124</v>
      </c>
    </row>
    <row r="20" customFormat="false" ht="15" hidden="false" customHeight="false" outlineLevel="0" collapsed="false">
      <c r="A20" s="32" t="s">
        <v>162</v>
      </c>
      <c r="B20" s="33" t="n">
        <v>56872</v>
      </c>
      <c r="C20" s="34" t="n">
        <v>7.57689196792798</v>
      </c>
      <c r="D20" s="34" t="n">
        <v>15.7609099846387</v>
      </c>
      <c r="E20" s="34" t="n">
        <v>1</v>
      </c>
      <c r="F20" s="34" t="n">
        <v>2</v>
      </c>
      <c r="G20" s="34" t="n">
        <v>3</v>
      </c>
      <c r="H20" s="34" t="n">
        <v>6</v>
      </c>
      <c r="I20" s="34" t="n">
        <v>1124</v>
      </c>
    </row>
    <row r="21" customFormat="false" ht="15" hidden="false" customHeight="false" outlineLevel="0" collapsed="false">
      <c r="A21" s="35" t="s">
        <v>164</v>
      </c>
      <c r="B21" s="36" t="n">
        <v>56872</v>
      </c>
      <c r="C21" s="37" t="n">
        <v>492.238658742439</v>
      </c>
      <c r="D21" s="37" t="n">
        <v>468.25047847131</v>
      </c>
      <c r="E21" s="37" t="n">
        <v>1</v>
      </c>
      <c r="F21" s="37" t="n">
        <v>30</v>
      </c>
      <c r="G21" s="37" t="n">
        <v>365</v>
      </c>
      <c r="H21" s="37" t="n">
        <v>1125</v>
      </c>
      <c r="I21" s="37" t="n">
        <v>3000</v>
      </c>
    </row>
    <row r="22" customFormat="false" ht="15" hidden="false" customHeight="false" outlineLevel="0" collapsed="false">
      <c r="A22" s="32" t="s">
        <v>166</v>
      </c>
      <c r="B22" s="33" t="n">
        <v>56872</v>
      </c>
      <c r="C22" s="34" t="n">
        <v>560.128815585877</v>
      </c>
      <c r="D22" s="34" t="n">
        <v>462.409064987203</v>
      </c>
      <c r="E22" s="34" t="n">
        <v>1</v>
      </c>
      <c r="F22" s="34" t="n">
        <v>60</v>
      </c>
      <c r="G22" s="34" t="n">
        <v>365</v>
      </c>
      <c r="H22" s="34" t="n">
        <v>1125</v>
      </c>
      <c r="I22" s="34" t="n">
        <v>3000</v>
      </c>
    </row>
    <row r="23" customFormat="false" ht="15" hidden="false" customHeight="false" outlineLevel="0" collapsed="false">
      <c r="A23" s="35" t="s">
        <v>167</v>
      </c>
      <c r="B23" s="36" t="n">
        <v>56873</v>
      </c>
      <c r="C23" s="37" t="n">
        <v>6.83959523851388</v>
      </c>
      <c r="D23" s="37" t="n">
        <v>15.259233663945</v>
      </c>
      <c r="E23" s="37" t="n">
        <v>1</v>
      </c>
      <c r="F23" s="37" t="n">
        <v>1.3</v>
      </c>
      <c r="G23" s="37" t="n">
        <v>2</v>
      </c>
      <c r="H23" s="37" t="n">
        <v>4</v>
      </c>
      <c r="I23" s="37" t="n">
        <v>1124</v>
      </c>
    </row>
    <row r="24" customFormat="false" ht="15" hidden="false" customHeight="false" outlineLevel="0" collapsed="false">
      <c r="A24" s="32" t="s">
        <v>169</v>
      </c>
      <c r="B24" s="33" t="n">
        <v>56873</v>
      </c>
      <c r="C24" s="34" t="n">
        <v>527.912271200746</v>
      </c>
      <c r="D24" s="34" t="n">
        <v>455.049883478995</v>
      </c>
      <c r="E24" s="34" t="n">
        <v>1</v>
      </c>
      <c r="F24" s="34" t="n">
        <v>43.9</v>
      </c>
      <c r="G24" s="34" t="n">
        <v>365</v>
      </c>
      <c r="H24" s="34" t="n">
        <v>1125</v>
      </c>
      <c r="I24" s="34" t="n">
        <v>3000</v>
      </c>
    </row>
    <row r="25" customFormat="false" ht="15" hidden="false" customHeight="false" outlineLevel="0" collapsed="false">
      <c r="A25" s="35" t="s">
        <v>173</v>
      </c>
      <c r="B25" s="36" t="n">
        <v>56873</v>
      </c>
      <c r="C25" s="37" t="n">
        <v>14.2461800854536</v>
      </c>
      <c r="D25" s="37" t="n">
        <v>10.8788002550447</v>
      </c>
      <c r="E25" s="37" t="n">
        <v>0</v>
      </c>
      <c r="F25" s="37" t="n">
        <v>4</v>
      </c>
      <c r="G25" s="37" t="n">
        <v>12</v>
      </c>
      <c r="H25" s="37" t="n">
        <v>26</v>
      </c>
      <c r="I25" s="37" t="n">
        <v>30</v>
      </c>
    </row>
    <row r="26" customFormat="false" ht="15" hidden="false" customHeight="false" outlineLevel="0" collapsed="false">
      <c r="A26" s="32" t="s">
        <v>175</v>
      </c>
      <c r="B26" s="33" t="n">
        <v>56873</v>
      </c>
      <c r="C26" s="34" t="n">
        <v>28.4924129200148</v>
      </c>
      <c r="D26" s="34" t="n">
        <v>20.7013427872398</v>
      </c>
      <c r="E26" s="34" t="n">
        <v>0</v>
      </c>
      <c r="F26" s="34" t="n">
        <v>10</v>
      </c>
      <c r="G26" s="34" t="n">
        <v>25</v>
      </c>
      <c r="H26" s="34" t="n">
        <v>49</v>
      </c>
      <c r="I26" s="34" t="n">
        <v>60</v>
      </c>
    </row>
    <row r="27" customFormat="false" ht="15" hidden="false" customHeight="false" outlineLevel="0" collapsed="false">
      <c r="A27" s="35" t="s">
        <v>177</v>
      </c>
      <c r="B27" s="36" t="n">
        <v>56873</v>
      </c>
      <c r="C27" s="37" t="n">
        <v>49.0709299667681</v>
      </c>
      <c r="D27" s="37" t="n">
        <v>29.0035394533996</v>
      </c>
      <c r="E27" s="37" t="n">
        <v>0</v>
      </c>
      <c r="F27" s="37" t="n">
        <v>26</v>
      </c>
      <c r="G27" s="37" t="n">
        <v>48</v>
      </c>
      <c r="H27" s="37" t="n">
        <v>76</v>
      </c>
      <c r="I27" s="37" t="n">
        <v>90</v>
      </c>
    </row>
    <row r="28" customFormat="false" ht="15" hidden="false" customHeight="false" outlineLevel="0" collapsed="false">
      <c r="A28" s="32" t="s">
        <v>179</v>
      </c>
      <c r="B28" s="33" t="n">
        <v>56873</v>
      </c>
      <c r="C28" s="34" t="n">
        <v>231.571114588645</v>
      </c>
      <c r="D28" s="34" t="n">
        <v>115.053652513023</v>
      </c>
      <c r="E28" s="34" t="n">
        <v>0</v>
      </c>
      <c r="F28" s="34" t="n">
        <v>136</v>
      </c>
      <c r="G28" s="34" t="n">
        <v>269</v>
      </c>
      <c r="H28" s="34" t="n">
        <v>333</v>
      </c>
      <c r="I28" s="34" t="n">
        <v>365</v>
      </c>
    </row>
    <row r="29" customFormat="false" ht="15" hidden="false" customHeight="false" outlineLevel="0" collapsed="false">
      <c r="A29" s="35" t="s">
        <v>183</v>
      </c>
      <c r="B29" s="36" t="n">
        <v>56873</v>
      </c>
      <c r="C29" s="37" t="n">
        <v>22.8760220139609</v>
      </c>
      <c r="D29" s="37" t="n">
        <v>52.7895439262321</v>
      </c>
      <c r="E29" s="37" t="n">
        <v>0</v>
      </c>
      <c r="F29" s="37" t="n">
        <v>0</v>
      </c>
      <c r="G29" s="37" t="n">
        <v>3</v>
      </c>
      <c r="H29" s="37" t="n">
        <v>20</v>
      </c>
      <c r="I29" s="37" t="n">
        <v>919</v>
      </c>
    </row>
    <row r="30" customFormat="false" ht="15" hidden="false" customHeight="false" outlineLevel="0" collapsed="false">
      <c r="A30" s="32" t="s">
        <v>186</v>
      </c>
      <c r="B30" s="33" t="n">
        <v>56873</v>
      </c>
      <c r="C30" s="34" t="n">
        <v>4.79674010514655</v>
      </c>
      <c r="D30" s="34" t="n">
        <v>10.0431866685814</v>
      </c>
      <c r="E30" s="34" t="n">
        <v>0</v>
      </c>
      <c r="F30" s="34" t="n">
        <v>0</v>
      </c>
      <c r="G30" s="34" t="n">
        <v>1</v>
      </c>
      <c r="H30" s="34" t="n">
        <v>5</v>
      </c>
      <c r="I30" s="34" t="n">
        <v>172</v>
      </c>
    </row>
    <row r="31" customFormat="false" ht="15" hidden="false" customHeight="false" outlineLevel="0" collapsed="false">
      <c r="A31" s="35" t="s">
        <v>188</v>
      </c>
      <c r="B31" s="36" t="n">
        <v>56873</v>
      </c>
      <c r="C31" s="37" t="n">
        <v>0.542858649974505</v>
      </c>
      <c r="D31" s="37" t="n">
        <v>1.24702333749622</v>
      </c>
      <c r="E31" s="37" t="n">
        <v>0</v>
      </c>
      <c r="F31" s="37" t="n">
        <v>0</v>
      </c>
      <c r="G31" s="37" t="n">
        <v>0</v>
      </c>
      <c r="H31" s="37" t="n">
        <v>0</v>
      </c>
      <c r="I31" s="37" t="n">
        <v>24</v>
      </c>
    </row>
    <row r="32" customFormat="false" ht="15" hidden="false" customHeight="false" outlineLevel="0" collapsed="false">
      <c r="A32" s="32" t="s">
        <v>190</v>
      </c>
      <c r="B32" s="33" t="n">
        <v>56873</v>
      </c>
      <c r="C32" s="34" t="n">
        <v>118.940393508343</v>
      </c>
      <c r="D32" s="34" t="n">
        <v>54.2159455949252</v>
      </c>
      <c r="E32" s="34" t="n">
        <v>0</v>
      </c>
      <c r="F32" s="34" t="n">
        <v>87</v>
      </c>
      <c r="G32" s="34" t="n">
        <v>129</v>
      </c>
      <c r="H32" s="34" t="n">
        <v>165</v>
      </c>
      <c r="I32" s="34" t="n">
        <v>184</v>
      </c>
    </row>
    <row r="33" customFormat="false" ht="15" hidden="false" customHeight="false" outlineLevel="0" collapsed="false">
      <c r="A33" s="35" t="s">
        <v>192</v>
      </c>
      <c r="B33" s="36" t="n">
        <v>56873</v>
      </c>
      <c r="C33" s="37" t="n">
        <v>4.58808221827581</v>
      </c>
      <c r="D33" s="37" t="n">
        <v>10.0053711504893</v>
      </c>
      <c r="E33" s="37" t="n">
        <v>0</v>
      </c>
      <c r="F33" s="37" t="n">
        <v>0</v>
      </c>
      <c r="G33" s="37" t="n">
        <v>0</v>
      </c>
      <c r="H33" s="37" t="n">
        <v>4</v>
      </c>
      <c r="I33" s="37" t="n">
        <v>179</v>
      </c>
    </row>
    <row r="34" customFormat="false" ht="15" hidden="false" customHeight="false" outlineLevel="0" collapsed="false">
      <c r="A34" s="32" t="s">
        <v>194</v>
      </c>
      <c r="B34" s="33" t="n">
        <v>56873</v>
      </c>
      <c r="C34" s="34" t="n">
        <v>28.6959189773706</v>
      </c>
      <c r="D34" s="34" t="n">
        <v>53.3636126177527</v>
      </c>
      <c r="E34" s="34" t="n">
        <v>0</v>
      </c>
      <c r="F34" s="34" t="n">
        <v>0</v>
      </c>
      <c r="G34" s="34" t="n">
        <v>6</v>
      </c>
      <c r="H34" s="34" t="n">
        <v>30</v>
      </c>
      <c r="I34" s="34" t="n">
        <v>255</v>
      </c>
    </row>
    <row r="35" customFormat="false" ht="15" hidden="false" customHeight="false" outlineLevel="0" collapsed="false">
      <c r="A35" s="35" t="s">
        <v>195</v>
      </c>
      <c r="B35" s="36" t="n">
        <v>51864</v>
      </c>
      <c r="C35" s="37" t="n">
        <v>4951.74830325467</v>
      </c>
      <c r="D35" s="37" t="n">
        <v>15773.3428555703</v>
      </c>
      <c r="E35" s="37" t="n">
        <v>0</v>
      </c>
      <c r="F35" s="37" t="n">
        <v>0</v>
      </c>
      <c r="G35" s="37" t="n">
        <v>602</v>
      </c>
      <c r="H35" s="37" t="n">
        <v>5040</v>
      </c>
      <c r="I35" s="37" t="n">
        <v>2327770</v>
      </c>
    </row>
    <row r="36" customFormat="false" ht="15" hidden="false" customHeight="false" outlineLevel="0" collapsed="false">
      <c r="A36" s="32" t="s">
        <v>204</v>
      </c>
      <c r="B36" s="33" t="n">
        <v>40372</v>
      </c>
      <c r="C36" s="34" t="n">
        <v>4.75329882096503</v>
      </c>
      <c r="D36" s="34" t="n">
        <v>0.405384832201314</v>
      </c>
      <c r="E36" s="34" t="n">
        <v>0</v>
      </c>
      <c r="F36" s="34" t="n">
        <v>4.67</v>
      </c>
      <c r="G36" s="34" t="n">
        <v>4.88</v>
      </c>
      <c r="H36" s="34" t="n">
        <v>5</v>
      </c>
      <c r="I36" s="34" t="n">
        <v>5</v>
      </c>
    </row>
    <row r="37" customFormat="false" ht="15" hidden="false" customHeight="false" outlineLevel="0" collapsed="false">
      <c r="A37" s="35" t="s">
        <v>207</v>
      </c>
      <c r="B37" s="36" t="n">
        <v>40367</v>
      </c>
      <c r="C37" s="37" t="n">
        <v>4.77016944533902</v>
      </c>
      <c r="D37" s="37" t="n">
        <v>0.407018281541554</v>
      </c>
      <c r="E37" s="37" t="n">
        <v>0</v>
      </c>
      <c r="F37" s="37" t="n">
        <v>4.71</v>
      </c>
      <c r="G37" s="37" t="n">
        <v>4.9</v>
      </c>
      <c r="H37" s="37" t="n">
        <v>5</v>
      </c>
      <c r="I37" s="37" t="n">
        <v>5</v>
      </c>
    </row>
    <row r="38" customFormat="false" ht="15" hidden="false" customHeight="false" outlineLevel="0" collapsed="false">
      <c r="A38" s="32" t="s">
        <v>209</v>
      </c>
      <c r="B38" s="33" t="n">
        <v>40368</v>
      </c>
      <c r="C38" s="34" t="n">
        <v>4.79027348394768</v>
      </c>
      <c r="D38" s="34" t="n">
        <v>0.384357007135243</v>
      </c>
      <c r="E38" s="34" t="n">
        <v>0</v>
      </c>
      <c r="F38" s="34" t="n">
        <v>4.74</v>
      </c>
      <c r="G38" s="34" t="n">
        <v>4.92</v>
      </c>
      <c r="H38" s="34" t="n">
        <v>5</v>
      </c>
      <c r="I38" s="34" t="n">
        <v>5</v>
      </c>
    </row>
    <row r="39" customFormat="false" ht="15" hidden="false" customHeight="false" outlineLevel="0" collapsed="false">
      <c r="A39" s="35" t="s">
        <v>211</v>
      </c>
      <c r="B39" s="36" t="n">
        <v>40363</v>
      </c>
      <c r="C39" s="37" t="n">
        <v>4.84152441592548</v>
      </c>
      <c r="D39" s="37" t="n">
        <v>0.341050368152519</v>
      </c>
      <c r="E39" s="37" t="n">
        <v>0</v>
      </c>
      <c r="F39" s="37" t="n">
        <v>4.83</v>
      </c>
      <c r="G39" s="37" t="n">
        <v>4.95</v>
      </c>
      <c r="H39" s="37" t="n">
        <v>5</v>
      </c>
      <c r="I39" s="37" t="n">
        <v>5</v>
      </c>
    </row>
    <row r="40" customFormat="false" ht="15" hidden="false" customHeight="false" outlineLevel="0" collapsed="false">
      <c r="A40" s="32" t="s">
        <v>213</v>
      </c>
      <c r="B40" s="33" t="n">
        <v>40365</v>
      </c>
      <c r="C40" s="34" t="n">
        <v>4.84791898922334</v>
      </c>
      <c r="D40" s="34" t="n">
        <v>0.353836344141759</v>
      </c>
      <c r="E40" s="34" t="n">
        <v>0</v>
      </c>
      <c r="F40" s="34" t="n">
        <v>4.85</v>
      </c>
      <c r="G40" s="34" t="n">
        <v>4.97</v>
      </c>
      <c r="H40" s="34" t="n">
        <v>5</v>
      </c>
      <c r="I40" s="34" t="n">
        <v>5</v>
      </c>
    </row>
    <row r="41" customFormat="false" ht="15" hidden="false" customHeight="false" outlineLevel="0" collapsed="false">
      <c r="A41" s="35" t="s">
        <v>215</v>
      </c>
      <c r="B41" s="36" t="n">
        <v>40365</v>
      </c>
      <c r="C41" s="37" t="n">
        <v>4.72046797968537</v>
      </c>
      <c r="D41" s="37" t="n">
        <v>0.395644445554566</v>
      </c>
      <c r="E41" s="37" t="n">
        <v>0</v>
      </c>
      <c r="F41" s="37" t="n">
        <v>4.62</v>
      </c>
      <c r="G41" s="37" t="n">
        <v>4.83</v>
      </c>
      <c r="H41" s="37" t="n">
        <v>5</v>
      </c>
      <c r="I41" s="37" t="n">
        <v>5</v>
      </c>
    </row>
    <row r="42" customFormat="false" ht="15" hidden="false" customHeight="false" outlineLevel="0" collapsed="false">
      <c r="A42" s="32" t="s">
        <v>217</v>
      </c>
      <c r="B42" s="33" t="n">
        <v>40363</v>
      </c>
      <c r="C42" s="34" t="n">
        <v>4.69002973019845</v>
      </c>
      <c r="D42" s="34" t="n">
        <v>0.443310919935323</v>
      </c>
      <c r="E42" s="34" t="n">
        <v>0</v>
      </c>
      <c r="F42" s="34" t="n">
        <v>4.6</v>
      </c>
      <c r="G42" s="34" t="n">
        <v>4.81</v>
      </c>
      <c r="H42" s="34" t="n">
        <v>5</v>
      </c>
      <c r="I42" s="34" t="n">
        <v>5</v>
      </c>
    </row>
    <row r="43" customFormat="false" ht="15" hidden="false" customHeight="false" outlineLevel="0" collapsed="false">
      <c r="A43" s="35" t="s">
        <v>222</v>
      </c>
      <c r="B43" s="36" t="n">
        <v>56873</v>
      </c>
      <c r="C43" s="37" t="n">
        <v>12.3149297557716</v>
      </c>
      <c r="D43" s="37" t="n">
        <v>34.0268113459134</v>
      </c>
      <c r="E43" s="37" t="n">
        <v>1</v>
      </c>
      <c r="F43" s="37" t="n">
        <v>1</v>
      </c>
      <c r="G43" s="37" t="n">
        <v>2</v>
      </c>
      <c r="H43" s="37" t="n">
        <v>6</v>
      </c>
      <c r="I43" s="37" t="n">
        <v>261</v>
      </c>
    </row>
    <row r="44" customFormat="false" ht="15" hidden="false" customHeight="false" outlineLevel="0" collapsed="false">
      <c r="A44" s="32" t="s">
        <v>224</v>
      </c>
      <c r="B44" s="33" t="n">
        <v>56873</v>
      </c>
      <c r="C44" s="34" t="n">
        <v>10.5990188665975</v>
      </c>
      <c r="D44" s="34" t="n">
        <v>32.0188439693192</v>
      </c>
      <c r="E44" s="34" t="n">
        <v>0</v>
      </c>
      <c r="F44" s="34" t="n">
        <v>1</v>
      </c>
      <c r="G44" s="34" t="n">
        <v>2</v>
      </c>
      <c r="H44" s="34" t="n">
        <v>4</v>
      </c>
      <c r="I44" s="34" t="n">
        <v>256</v>
      </c>
    </row>
    <row r="45" customFormat="false" ht="15" hidden="false" customHeight="false" outlineLevel="0" collapsed="false">
      <c r="A45" s="35" t="s">
        <v>226</v>
      </c>
      <c r="B45" s="36" t="n">
        <v>56873</v>
      </c>
      <c r="C45" s="37" t="n">
        <v>1.68065690222074</v>
      </c>
      <c r="D45" s="37" t="n">
        <v>4.9673644632285</v>
      </c>
      <c r="E45" s="37" t="n">
        <v>0</v>
      </c>
      <c r="F45" s="37" t="n">
        <v>0</v>
      </c>
      <c r="G45" s="37" t="n">
        <v>0</v>
      </c>
      <c r="H45" s="37" t="n">
        <v>1</v>
      </c>
      <c r="I45" s="37" t="n">
        <v>47</v>
      </c>
    </row>
    <row r="46" customFormat="false" ht="15" hidden="false" customHeight="false" outlineLevel="0" collapsed="false">
      <c r="A46" s="32" t="s">
        <v>228</v>
      </c>
      <c r="B46" s="33" t="n">
        <v>56873</v>
      </c>
      <c r="C46" s="34" t="n">
        <v>0.0161588099801312</v>
      </c>
      <c r="D46" s="34" t="n">
        <v>0.402511589630266</v>
      </c>
      <c r="E46" s="34" t="n">
        <v>0</v>
      </c>
      <c r="F46" s="34" t="n">
        <v>0</v>
      </c>
      <c r="G46" s="34" t="n">
        <v>0</v>
      </c>
      <c r="H46" s="34" t="n">
        <v>0</v>
      </c>
      <c r="I46" s="34" t="n">
        <v>19</v>
      </c>
    </row>
    <row r="47" customFormat="false" ht="15" hidden="false" customHeight="false" outlineLevel="0" collapsed="false">
      <c r="A47" s="35" t="s">
        <v>230</v>
      </c>
      <c r="B47" s="36" t="n">
        <v>40372</v>
      </c>
      <c r="C47" s="37" t="n">
        <v>0.716578321609036</v>
      </c>
      <c r="D47" s="37" t="n">
        <v>1.00232969973138</v>
      </c>
      <c r="E47" s="37" t="n">
        <v>0.01</v>
      </c>
      <c r="F47" s="37" t="n">
        <v>0.11</v>
      </c>
      <c r="G47" s="37" t="n">
        <v>0.33</v>
      </c>
      <c r="H47" s="37" t="n">
        <v>0.93</v>
      </c>
      <c r="I47" s="37" t="n">
        <v>11.16</v>
      </c>
    </row>
    <row r="48" customFormat="false" ht="15" hidden="false" customHeight="false" outlineLevel="0" collapsed="false">
      <c r="A48" s="32" t="s">
        <v>296</v>
      </c>
      <c r="B48" s="33" t="n">
        <v>51864</v>
      </c>
      <c r="C48" s="34" t="n">
        <v>193.844003162116</v>
      </c>
      <c r="D48" s="34" t="n">
        <v>554.64224053609</v>
      </c>
      <c r="E48" s="34" t="n">
        <v>2.02</v>
      </c>
      <c r="F48" s="34" t="n">
        <v>90</v>
      </c>
      <c r="G48" s="34" t="n">
        <v>126</v>
      </c>
      <c r="H48" s="34" t="n">
        <v>194</v>
      </c>
      <c r="I48" s="34" t="n">
        <v>88494.55</v>
      </c>
    </row>
    <row r="50" customFormat="false" ht="15" hidden="false" customHeight="false" outlineLevel="0" collapsed="false">
      <c r="A50" s="25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298</v>
      </c>
    </row>
    <row r="3" customFormat="false" ht="30" hidden="false" customHeight="true" outlineLevel="0" collapsed="false">
      <c r="A3" s="3" t="s">
        <v>2</v>
      </c>
      <c r="B3" s="3" t="s">
        <v>239</v>
      </c>
      <c r="C3" s="3" t="s">
        <v>299</v>
      </c>
      <c r="D3" s="3" t="s">
        <v>300</v>
      </c>
    </row>
    <row r="4" customFormat="false" ht="15" hidden="false" customHeight="false" outlineLevel="0" collapsed="false">
      <c r="A4" s="32" t="s">
        <v>116</v>
      </c>
      <c r="B4" s="26" t="s">
        <v>301</v>
      </c>
      <c r="C4" s="33" t="n">
        <v>45363</v>
      </c>
      <c r="D4" s="38" t="n">
        <f aca="false">C4/Summary!$B$4</f>
        <v>0.797619256940903</v>
      </c>
    </row>
    <row r="5" customFormat="false" ht="15" hidden="false" customHeight="false" outlineLevel="0" collapsed="false">
      <c r="A5" s="32" t="s">
        <v>116</v>
      </c>
      <c r="B5" s="26" t="s">
        <v>302</v>
      </c>
      <c r="C5" s="33" t="n">
        <v>11233</v>
      </c>
      <c r="D5" s="38" t="n">
        <f aca="false">C5/Summary!$B$4</f>
        <v>0.197510242118404</v>
      </c>
    </row>
    <row r="6" customFormat="false" ht="15" hidden="false" customHeight="false" outlineLevel="0" collapsed="false">
      <c r="A6" s="32" t="s">
        <v>116</v>
      </c>
      <c r="B6" s="26" t="s">
        <v>303</v>
      </c>
      <c r="C6" s="33" t="n">
        <v>207</v>
      </c>
      <c r="D6" s="38" t="n">
        <f aca="false">C6/Summary!$B$4</f>
        <v>0.00363968842860408</v>
      </c>
    </row>
    <row r="7" customFormat="false" ht="15" hidden="false" customHeight="false" outlineLevel="0" collapsed="false">
      <c r="A7" s="32" t="s">
        <v>116</v>
      </c>
      <c r="B7" s="26" t="s">
        <v>304</v>
      </c>
      <c r="C7" s="33" t="n">
        <v>70</v>
      </c>
      <c r="D7" s="38" t="n">
        <f aca="false">C7/Summary!$B$4</f>
        <v>0.00123081251208834</v>
      </c>
    </row>
    <row r="9" customFormat="false" ht="15" hidden="false" customHeight="false" outlineLevel="0" collapsed="false">
      <c r="A9" s="32" t="s">
        <v>113</v>
      </c>
      <c r="B9" s="26" t="s">
        <v>305</v>
      </c>
      <c r="C9" s="33" t="n">
        <v>18564</v>
      </c>
      <c r="D9" s="38" t="n">
        <f aca="false">C9/Summary!$B$4</f>
        <v>0.326411478205827</v>
      </c>
    </row>
    <row r="10" customFormat="false" ht="15" hidden="false" customHeight="false" outlineLevel="0" collapsed="false">
      <c r="A10" s="32" t="s">
        <v>113</v>
      </c>
      <c r="B10" s="26" t="s">
        <v>306</v>
      </c>
      <c r="C10" s="33" t="n">
        <v>10808</v>
      </c>
      <c r="D10" s="38" t="n">
        <f aca="false">C10/Summary!$B$4</f>
        <v>0.190037451866439</v>
      </c>
    </row>
    <row r="11" customFormat="false" ht="15" hidden="false" customHeight="false" outlineLevel="0" collapsed="false">
      <c r="A11" s="32" t="s">
        <v>113</v>
      </c>
      <c r="B11" s="26" t="s">
        <v>307</v>
      </c>
      <c r="C11" s="33" t="n">
        <v>4682</v>
      </c>
      <c r="D11" s="38" t="n">
        <f aca="false">C11/Summary!$B$4</f>
        <v>0.0823237740228228</v>
      </c>
    </row>
    <row r="12" customFormat="false" ht="15" hidden="false" customHeight="false" outlineLevel="0" collapsed="false">
      <c r="A12" s="32" t="s">
        <v>113</v>
      </c>
      <c r="B12" s="26" t="s">
        <v>308</v>
      </c>
      <c r="C12" s="33" t="n">
        <v>4660</v>
      </c>
      <c r="D12" s="38" t="n">
        <f aca="false">C12/Summary!$B$4</f>
        <v>0.0819369472333093</v>
      </c>
    </row>
    <row r="13" customFormat="false" ht="15" hidden="false" customHeight="false" outlineLevel="0" collapsed="false">
      <c r="A13" s="32" t="s">
        <v>113</v>
      </c>
      <c r="B13" s="26" t="s">
        <v>309</v>
      </c>
      <c r="C13" s="33" t="n">
        <v>4627</v>
      </c>
      <c r="D13" s="38" t="n">
        <f aca="false">C13/Summary!$B$4</f>
        <v>0.0813567070490391</v>
      </c>
    </row>
    <row r="14" customFormat="false" ht="15" hidden="false" customHeight="false" outlineLevel="0" collapsed="false">
      <c r="A14" s="32" t="s">
        <v>113</v>
      </c>
      <c r="B14" s="26" t="s">
        <v>310</v>
      </c>
      <c r="C14" s="33" t="n">
        <v>3625</v>
      </c>
      <c r="D14" s="38" t="n">
        <f aca="false">C14/Summary!$B$4</f>
        <v>0.0637385050902889</v>
      </c>
    </row>
    <row r="15" customFormat="false" ht="15" hidden="false" customHeight="false" outlineLevel="0" collapsed="false">
      <c r="A15" s="32" t="s">
        <v>113</v>
      </c>
      <c r="B15" s="26" t="s">
        <v>311</v>
      </c>
      <c r="C15" s="33" t="n">
        <v>2377</v>
      </c>
      <c r="D15" s="38" t="n">
        <f aca="false">C15/Summary!$B$4</f>
        <v>0.0417948763033425</v>
      </c>
    </row>
    <row r="16" customFormat="false" ht="15" hidden="false" customHeight="false" outlineLevel="0" collapsed="false">
      <c r="A16" s="32" t="s">
        <v>113</v>
      </c>
      <c r="B16" s="26" t="s">
        <v>312</v>
      </c>
      <c r="C16" s="33" t="n">
        <v>1222</v>
      </c>
      <c r="D16" s="38" t="n">
        <f aca="false">C16/Summary!$B$4</f>
        <v>0.021486469853885</v>
      </c>
    </row>
    <row r="17" customFormat="false" ht="15" hidden="false" customHeight="false" outlineLevel="0" collapsed="false">
      <c r="A17" s="32" t="s">
        <v>113</v>
      </c>
      <c r="B17" s="26" t="s">
        <v>313</v>
      </c>
      <c r="C17" s="33" t="n">
        <v>600</v>
      </c>
      <c r="D17" s="38" t="n">
        <f aca="false">C17/Summary!$B$4</f>
        <v>0.0105498215321857</v>
      </c>
    </row>
    <row r="18" customFormat="false" ht="15" hidden="false" customHeight="false" outlineLevel="0" collapsed="false">
      <c r="A18" s="32" t="s">
        <v>113</v>
      </c>
      <c r="B18" s="26" t="s">
        <v>314</v>
      </c>
      <c r="C18" s="33" t="n">
        <v>411</v>
      </c>
      <c r="D18" s="38" t="n">
        <f aca="false">C18/Summary!$B$4</f>
        <v>0.00722662774954724</v>
      </c>
    </row>
    <row r="19" customFormat="false" ht="15" hidden="false" customHeight="false" outlineLevel="0" collapsed="false">
      <c r="A19" s="32" t="s">
        <v>113</v>
      </c>
      <c r="B19" s="26" t="s">
        <v>315</v>
      </c>
      <c r="C19" s="33" t="n">
        <v>411</v>
      </c>
      <c r="D19" s="38" t="n">
        <f aca="false">C19/Summary!$B$4</f>
        <v>0.00722662774954724</v>
      </c>
    </row>
    <row r="20" customFormat="false" ht="15" hidden="false" customHeight="false" outlineLevel="0" collapsed="false">
      <c r="A20" s="32" t="s">
        <v>113</v>
      </c>
      <c r="B20" s="26" t="s">
        <v>316</v>
      </c>
      <c r="C20" s="33" t="n">
        <v>409</v>
      </c>
      <c r="D20" s="38" t="n">
        <f aca="false">C20/Summary!$B$4</f>
        <v>0.00719146167777328</v>
      </c>
    </row>
    <row r="21" customFormat="false" ht="15" hidden="false" customHeight="false" outlineLevel="0" collapsed="false">
      <c r="A21" s="32" t="s">
        <v>113</v>
      </c>
      <c r="B21" s="26" t="s">
        <v>317</v>
      </c>
      <c r="C21" s="33" t="n">
        <v>385</v>
      </c>
      <c r="D21" s="38" t="n">
        <f aca="false">C21/Summary!$B$4</f>
        <v>0.00676946881648585</v>
      </c>
    </row>
    <row r="22" customFormat="false" ht="15" hidden="false" customHeight="false" outlineLevel="0" collapsed="false">
      <c r="A22" s="32" t="s">
        <v>113</v>
      </c>
      <c r="B22" s="26" t="s">
        <v>318</v>
      </c>
      <c r="C22" s="33" t="n">
        <v>369</v>
      </c>
      <c r="D22" s="38" t="n">
        <f aca="false">C22/Summary!$B$4</f>
        <v>0.00648814024229424</v>
      </c>
    </row>
    <row r="23" customFormat="false" ht="15" hidden="false" customHeight="false" outlineLevel="0" collapsed="false">
      <c r="A23" s="32" t="s">
        <v>113</v>
      </c>
      <c r="B23" s="26" t="s">
        <v>319</v>
      </c>
      <c r="C23" s="33" t="n">
        <v>364</v>
      </c>
      <c r="D23" s="38" t="n">
        <f aca="false">C23/Summary!$B$4</f>
        <v>0.00640022506285935</v>
      </c>
    </row>
    <row r="25" customFormat="false" ht="15" hidden="false" customHeight="false" outlineLevel="0" collapsed="false">
      <c r="A25" s="32" t="s">
        <v>102</v>
      </c>
      <c r="B25" s="26" t="s">
        <v>320</v>
      </c>
      <c r="C25" s="33" t="n">
        <v>7810</v>
      </c>
      <c r="D25" s="38" t="n">
        <f aca="false">C25/Summary!$B$4</f>
        <v>0.137323510277284</v>
      </c>
    </row>
    <row r="26" customFormat="false" ht="15" hidden="false" customHeight="false" outlineLevel="0" collapsed="false">
      <c r="A26" s="32" t="s">
        <v>102</v>
      </c>
      <c r="B26" s="26" t="s">
        <v>321</v>
      </c>
      <c r="C26" s="33" t="n">
        <v>4666</v>
      </c>
      <c r="D26" s="38" t="n">
        <f aca="false">C26/Summary!$B$4</f>
        <v>0.0820424454486312</v>
      </c>
    </row>
    <row r="27" customFormat="false" ht="15" hidden="false" customHeight="false" outlineLevel="0" collapsed="false">
      <c r="A27" s="32" t="s">
        <v>102</v>
      </c>
      <c r="B27" s="26" t="s">
        <v>322</v>
      </c>
      <c r="C27" s="33" t="n">
        <v>3756</v>
      </c>
      <c r="D27" s="38" t="n">
        <f aca="false">C27/Summary!$B$4</f>
        <v>0.0660418827914828</v>
      </c>
    </row>
    <row r="28" customFormat="false" ht="15" hidden="false" customHeight="false" outlineLevel="0" collapsed="false">
      <c r="A28" s="32" t="s">
        <v>102</v>
      </c>
      <c r="B28" s="26" t="s">
        <v>323</v>
      </c>
      <c r="C28" s="33" t="n">
        <v>1826</v>
      </c>
      <c r="D28" s="38" t="n">
        <f aca="false">C28/Summary!$B$4</f>
        <v>0.0321066235296186</v>
      </c>
    </row>
    <row r="29" customFormat="false" ht="15" hidden="false" customHeight="false" outlineLevel="0" collapsed="false">
      <c r="A29" s="32" t="s">
        <v>102</v>
      </c>
      <c r="B29" s="26" t="s">
        <v>324</v>
      </c>
      <c r="C29" s="33" t="n">
        <v>1723</v>
      </c>
      <c r="D29" s="38" t="n">
        <f aca="false">C29/Summary!$B$4</f>
        <v>0.0302955708332601</v>
      </c>
    </row>
    <row r="30" customFormat="false" ht="15" hidden="false" customHeight="false" outlineLevel="0" collapsed="false">
      <c r="A30" s="32" t="s">
        <v>102</v>
      </c>
      <c r="B30" s="26" t="s">
        <v>325</v>
      </c>
      <c r="C30" s="33" t="n">
        <v>1410</v>
      </c>
      <c r="D30" s="38" t="n">
        <f aca="false">C30/Summary!$B$4</f>
        <v>0.0247920806006365</v>
      </c>
    </row>
    <row r="31" customFormat="false" ht="15" hidden="false" customHeight="false" outlineLevel="0" collapsed="false">
      <c r="A31" s="32" t="s">
        <v>102</v>
      </c>
      <c r="B31" s="26" t="s">
        <v>326</v>
      </c>
      <c r="C31" s="33" t="n">
        <v>1376</v>
      </c>
      <c r="D31" s="38" t="n">
        <f aca="false">C31/Summary!$B$4</f>
        <v>0.0241942573804793</v>
      </c>
    </row>
    <row r="32" customFormat="false" ht="15" hidden="false" customHeight="false" outlineLevel="0" collapsed="false">
      <c r="A32" s="32" t="s">
        <v>102</v>
      </c>
      <c r="B32" s="26" t="s">
        <v>327</v>
      </c>
      <c r="C32" s="33" t="n">
        <v>1315</v>
      </c>
      <c r="D32" s="38" t="n">
        <f aca="false">C32/Summary!$B$4</f>
        <v>0.0231216921913738</v>
      </c>
    </row>
    <row r="33" customFormat="false" ht="15" hidden="false" customHeight="false" outlineLevel="0" collapsed="false">
      <c r="A33" s="32" t="s">
        <v>102</v>
      </c>
      <c r="B33" s="26" t="s">
        <v>328</v>
      </c>
      <c r="C33" s="33" t="n">
        <v>1247</v>
      </c>
      <c r="D33" s="38" t="n">
        <f aca="false">C33/Summary!$B$4</f>
        <v>0.0219260457510594</v>
      </c>
    </row>
    <row r="34" customFormat="false" ht="15" hidden="false" customHeight="false" outlineLevel="0" collapsed="false">
      <c r="A34" s="32" t="s">
        <v>102</v>
      </c>
      <c r="B34" s="26" t="s">
        <v>329</v>
      </c>
      <c r="C34" s="33" t="n">
        <v>1232</v>
      </c>
      <c r="D34" s="38" t="n">
        <f aca="false">C34/Summary!$B$4</f>
        <v>0.0216623002127547</v>
      </c>
    </row>
    <row r="35" customFormat="false" ht="15" hidden="false" customHeight="false" outlineLevel="0" collapsed="false">
      <c r="A35" s="32" t="s">
        <v>102</v>
      </c>
      <c r="B35" s="26" t="s">
        <v>330</v>
      </c>
      <c r="C35" s="33" t="n">
        <v>1193</v>
      </c>
      <c r="D35" s="38" t="n">
        <f aca="false">C35/Summary!$B$4</f>
        <v>0.0209765618131627</v>
      </c>
    </row>
    <row r="36" customFormat="false" ht="15" hidden="false" customHeight="false" outlineLevel="0" collapsed="false">
      <c r="A36" s="32" t="s">
        <v>102</v>
      </c>
      <c r="B36" s="26" t="s">
        <v>331</v>
      </c>
      <c r="C36" s="33" t="n">
        <v>1126</v>
      </c>
      <c r="D36" s="38" t="n">
        <f aca="false">C36/Summary!$B$4</f>
        <v>0.0197984984087353</v>
      </c>
    </row>
    <row r="37" customFormat="false" ht="15" hidden="false" customHeight="false" outlineLevel="0" collapsed="false">
      <c r="A37" s="32" t="s">
        <v>102</v>
      </c>
      <c r="B37" s="26" t="s">
        <v>332</v>
      </c>
      <c r="C37" s="33" t="n">
        <v>1017</v>
      </c>
      <c r="D37" s="38" t="n">
        <f aca="false">C37/Summary!$B$4</f>
        <v>0.0178819474970548</v>
      </c>
    </row>
    <row r="38" customFormat="false" ht="15" hidden="false" customHeight="false" outlineLevel="0" collapsed="false">
      <c r="A38" s="32" t="s">
        <v>102</v>
      </c>
      <c r="B38" s="26" t="s">
        <v>333</v>
      </c>
      <c r="C38" s="33" t="n">
        <v>987</v>
      </c>
      <c r="D38" s="38" t="n">
        <f aca="false">C38/Summary!$B$4</f>
        <v>0.0173544564204456</v>
      </c>
    </row>
    <row r="39" customFormat="false" ht="15" hidden="false" customHeight="false" outlineLevel="0" collapsed="false">
      <c r="A39" s="32" t="s">
        <v>102</v>
      </c>
      <c r="B39" s="26" t="s">
        <v>334</v>
      </c>
      <c r="C39" s="33" t="n">
        <v>888</v>
      </c>
      <c r="D39" s="38" t="n">
        <f aca="false">C39/Summary!$B$4</f>
        <v>0.0156137358676349</v>
      </c>
    </row>
    <row r="41" customFormat="false" ht="15" hidden="false" customHeight="false" outlineLevel="0" collapsed="false">
      <c r="A41" s="32" t="s">
        <v>38</v>
      </c>
      <c r="B41" s="26" t="s">
        <v>335</v>
      </c>
      <c r="C41" s="33" t="n">
        <v>52489</v>
      </c>
      <c r="D41" s="38" t="n">
        <f aca="false">C41/Summary!$B$4</f>
        <v>0.922915970671496</v>
      </c>
    </row>
    <row r="42" customFormat="false" ht="15" hidden="false" customHeight="false" outlineLevel="0" collapsed="false">
      <c r="A42" s="32" t="s">
        <v>38</v>
      </c>
      <c r="B42" s="26" t="s">
        <v>336</v>
      </c>
      <c r="C42" s="33" t="n">
        <v>4384</v>
      </c>
      <c r="D42" s="38" t="n">
        <f aca="false">C42/Summary!$B$4</f>
        <v>0.0770840293285039</v>
      </c>
    </row>
    <row r="44" customFormat="false" ht="15" hidden="false" customHeight="false" outlineLevel="0" collapsed="false">
      <c r="A44" s="32" t="s">
        <v>32</v>
      </c>
      <c r="B44" s="26" t="s">
        <v>35</v>
      </c>
      <c r="C44" s="33" t="n">
        <v>31312</v>
      </c>
      <c r="D44" s="38" t="n">
        <f aca="false">C44/Summary!$B$4</f>
        <v>0.550560019693</v>
      </c>
    </row>
    <row r="45" customFormat="false" ht="15" hidden="false" customHeight="false" outlineLevel="0" collapsed="false">
      <c r="A45" s="32" t="s">
        <v>32</v>
      </c>
      <c r="B45" s="26" t="s">
        <v>34</v>
      </c>
      <c r="C45" s="33" t="n">
        <v>25561</v>
      </c>
      <c r="D45" s="38" t="n">
        <f aca="false">C45/Summary!$B$4</f>
        <v>0.449439980307</v>
      </c>
    </row>
    <row r="47" customFormat="false" ht="15" hidden="false" customHeight="false" outlineLevel="0" collapsed="false">
      <c r="A47" s="25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48"/>
    <col collapsed="false" customWidth="true" hidden="false" outlineLevel="0" max="6" min="5" style="0" width="42"/>
    <col collapsed="false" customWidth="true" hidden="false" outlineLevel="0" max="7" min="7" style="0" width="28"/>
  </cols>
  <sheetData>
    <row r="1" customFormat="false" ht="17.35" hidden="false" customHeight="false" outlineLevel="0" collapsed="false">
      <c r="A1" s="1" t="s">
        <v>338</v>
      </c>
    </row>
    <row r="3" customFormat="false" ht="30" hidden="false" customHeight="true" outlineLevel="0" collapsed="false">
      <c r="A3" s="3" t="s">
        <v>339</v>
      </c>
      <c r="B3" s="3" t="s">
        <v>340</v>
      </c>
      <c r="C3" s="3" t="s">
        <v>341</v>
      </c>
      <c r="D3" s="3" t="s">
        <v>342</v>
      </c>
      <c r="E3" s="3" t="s">
        <v>343</v>
      </c>
      <c r="F3" s="3" t="s">
        <v>344</v>
      </c>
      <c r="G3" s="3" t="s">
        <v>345</v>
      </c>
    </row>
    <row r="4" customFormat="false" ht="68.65" hidden="false" customHeight="false" outlineLevel="0" collapsed="false">
      <c r="A4" s="5" t="n">
        <v>1</v>
      </c>
      <c r="B4" s="5" t="s">
        <v>346</v>
      </c>
      <c r="C4" s="4" t="s">
        <v>347</v>
      </c>
      <c r="D4" s="5" t="s">
        <v>348</v>
      </c>
      <c r="E4" s="5" t="s">
        <v>349</v>
      </c>
      <c r="F4" s="5" t="s">
        <v>350</v>
      </c>
      <c r="G4" s="5" t="s">
        <v>351</v>
      </c>
    </row>
    <row r="5" customFormat="false" ht="15" hidden="false" customHeight="false" outlineLevel="0" collapsed="false">
      <c r="A5" s="11" t="n">
        <v>2</v>
      </c>
      <c r="B5" s="11" t="s">
        <v>346</v>
      </c>
      <c r="C5" s="10" t="s">
        <v>352</v>
      </c>
      <c r="D5" s="11" t="s">
        <v>28</v>
      </c>
      <c r="E5" s="11" t="s">
        <v>353</v>
      </c>
      <c r="F5" s="11" t="s">
        <v>354</v>
      </c>
      <c r="G5" s="11" t="s">
        <v>355</v>
      </c>
    </row>
    <row r="6" customFormat="false" ht="23.85" hidden="false" customHeight="false" outlineLevel="0" collapsed="false">
      <c r="A6" s="5" t="n">
        <v>3</v>
      </c>
      <c r="B6" s="5" t="s">
        <v>356</v>
      </c>
      <c r="C6" s="4" t="s">
        <v>357</v>
      </c>
      <c r="D6" s="5" t="s">
        <v>358</v>
      </c>
      <c r="E6" s="5" t="s">
        <v>359</v>
      </c>
      <c r="F6" s="5" t="s">
        <v>354</v>
      </c>
      <c r="G6" s="5" t="s">
        <v>360</v>
      </c>
    </row>
    <row r="7" customFormat="false" ht="15" hidden="false" customHeight="false" outlineLevel="0" collapsed="false">
      <c r="A7" s="11" t="n">
        <v>4</v>
      </c>
      <c r="B7" s="11" t="s">
        <v>361</v>
      </c>
      <c r="C7" s="10" t="s">
        <v>362</v>
      </c>
      <c r="D7" s="11" t="s">
        <v>363</v>
      </c>
      <c r="E7" s="11" t="s">
        <v>364</v>
      </c>
      <c r="F7" s="11" t="s">
        <v>365</v>
      </c>
      <c r="G7" s="11" t="s">
        <v>366</v>
      </c>
    </row>
    <row r="8" customFormat="false" ht="15" hidden="false" customHeight="false" outlineLevel="0" collapsed="false">
      <c r="A8" s="5" t="n">
        <v>5</v>
      </c>
      <c r="B8" s="5" t="s">
        <v>361</v>
      </c>
      <c r="C8" s="4" t="s">
        <v>367</v>
      </c>
      <c r="D8" s="5" t="s">
        <v>368</v>
      </c>
      <c r="E8" s="5" t="s">
        <v>369</v>
      </c>
      <c r="F8" s="5" t="s">
        <v>370</v>
      </c>
      <c r="G8" s="5" t="s">
        <v>371</v>
      </c>
    </row>
    <row r="9" customFormat="false" ht="23.85" hidden="false" customHeight="false" outlineLevel="0" collapsed="false">
      <c r="A9" s="11" t="n">
        <v>6</v>
      </c>
      <c r="B9" s="11" t="s">
        <v>361</v>
      </c>
      <c r="C9" s="10" t="s">
        <v>372</v>
      </c>
      <c r="D9" s="11" t="s">
        <v>373</v>
      </c>
      <c r="E9" s="11" t="s">
        <v>374</v>
      </c>
      <c r="F9" s="11" t="s">
        <v>375</v>
      </c>
      <c r="G9" s="11" t="s">
        <v>376</v>
      </c>
    </row>
    <row r="10" customFormat="false" ht="23.85" hidden="false" customHeight="false" outlineLevel="0" collapsed="false">
      <c r="A10" s="5" t="n">
        <v>7</v>
      </c>
      <c r="B10" s="5" t="s">
        <v>377</v>
      </c>
      <c r="C10" s="4" t="s">
        <v>378</v>
      </c>
      <c r="D10" s="5" t="s">
        <v>379</v>
      </c>
      <c r="E10" s="5" t="s">
        <v>380</v>
      </c>
      <c r="F10" s="5" t="s">
        <v>381</v>
      </c>
      <c r="G10" s="5" t="s">
        <v>382</v>
      </c>
    </row>
    <row r="11" customFormat="false" ht="15" hidden="false" customHeight="false" outlineLevel="0" collapsed="false">
      <c r="A11" s="11" t="n">
        <v>8</v>
      </c>
      <c r="B11" s="11" t="s">
        <v>383</v>
      </c>
      <c r="C11" s="10" t="s">
        <v>384</v>
      </c>
      <c r="D11" s="11" t="s">
        <v>385</v>
      </c>
      <c r="E11" s="11" t="s">
        <v>386</v>
      </c>
      <c r="F11" s="11" t="s">
        <v>387</v>
      </c>
      <c r="G11" s="11" t="s">
        <v>388</v>
      </c>
    </row>
    <row r="12" customFormat="false" ht="23.85" hidden="false" customHeight="false" outlineLevel="0" collapsed="false">
      <c r="A12" s="5" t="n">
        <v>9</v>
      </c>
      <c r="B12" s="5" t="s">
        <v>389</v>
      </c>
      <c r="C12" s="4" t="s">
        <v>390</v>
      </c>
      <c r="D12" s="5" t="s">
        <v>391</v>
      </c>
      <c r="E12" s="5" t="s">
        <v>392</v>
      </c>
      <c r="F12" s="5" t="s">
        <v>393</v>
      </c>
      <c r="G12" s="5" t="s">
        <v>394</v>
      </c>
    </row>
    <row r="13" customFormat="false" ht="23.85" hidden="false" customHeight="false" outlineLevel="0" collapsed="false">
      <c r="A13" s="11" t="n">
        <v>10</v>
      </c>
      <c r="B13" s="11" t="s">
        <v>395</v>
      </c>
      <c r="C13" s="10" t="s">
        <v>396</v>
      </c>
      <c r="D13" s="11" t="s">
        <v>397</v>
      </c>
      <c r="E13" s="11" t="s">
        <v>398</v>
      </c>
      <c r="F13" s="11" t="s">
        <v>399</v>
      </c>
      <c r="G13" s="11" t="s">
        <v>400</v>
      </c>
    </row>
    <row r="14" customFormat="false" ht="23.85" hidden="false" customHeight="false" outlineLevel="0" collapsed="false">
      <c r="A14" s="5" t="n">
        <v>11</v>
      </c>
      <c r="B14" s="5" t="s">
        <v>395</v>
      </c>
      <c r="C14" s="4" t="s">
        <v>401</v>
      </c>
      <c r="D14" s="5" t="s">
        <v>402</v>
      </c>
      <c r="E14" s="5" t="s">
        <v>403</v>
      </c>
      <c r="F14" s="5" t="s">
        <v>404</v>
      </c>
      <c r="G14" s="5" t="s">
        <v>405</v>
      </c>
    </row>
    <row r="15" customFormat="false" ht="23.85" hidden="false" customHeight="false" outlineLevel="0" collapsed="false">
      <c r="A15" s="11" t="n">
        <v>12</v>
      </c>
      <c r="B15" s="11" t="s">
        <v>406</v>
      </c>
      <c r="C15" s="10" t="s">
        <v>407</v>
      </c>
      <c r="D15" s="11" t="s">
        <v>408</v>
      </c>
      <c r="E15" s="11" t="s">
        <v>409</v>
      </c>
      <c r="F15" s="11" t="s">
        <v>410</v>
      </c>
      <c r="G15" s="11" t="s">
        <v>411</v>
      </c>
    </row>
    <row r="16" customFormat="false" ht="23.85" hidden="false" customHeight="false" outlineLevel="0" collapsed="false">
      <c r="A16" s="5" t="n">
        <v>13</v>
      </c>
      <c r="B16" s="5" t="s">
        <v>412</v>
      </c>
      <c r="C16" s="4" t="s">
        <v>413</v>
      </c>
      <c r="D16" s="5" t="s">
        <v>414</v>
      </c>
      <c r="E16" s="5" t="s">
        <v>415</v>
      </c>
      <c r="F16" s="5" t="s">
        <v>416</v>
      </c>
      <c r="G16" s="5" t="s">
        <v>417</v>
      </c>
    </row>
    <row r="17" customFormat="false" ht="23.85" hidden="false" customHeight="false" outlineLevel="0" collapsed="false">
      <c r="A17" s="11" t="n">
        <v>14</v>
      </c>
      <c r="B17" s="11" t="s">
        <v>412</v>
      </c>
      <c r="C17" s="10" t="s">
        <v>418</v>
      </c>
      <c r="D17" s="11" t="s">
        <v>419</v>
      </c>
      <c r="E17" s="11" t="s">
        <v>420</v>
      </c>
      <c r="F17" s="11" t="s">
        <v>421</v>
      </c>
      <c r="G17" s="11" t="s">
        <v>422</v>
      </c>
    </row>
    <row r="18" customFormat="false" ht="23.85" hidden="false" customHeight="false" outlineLevel="0" collapsed="false">
      <c r="A18" s="5" t="n">
        <v>15</v>
      </c>
      <c r="B18" s="5" t="s">
        <v>423</v>
      </c>
      <c r="C18" s="4" t="s">
        <v>424</v>
      </c>
      <c r="D18" s="5" t="s">
        <v>425</v>
      </c>
      <c r="E18" s="5" t="s">
        <v>426</v>
      </c>
      <c r="F18" s="5" t="s">
        <v>427</v>
      </c>
      <c r="G18" s="5" t="s">
        <v>428</v>
      </c>
    </row>
    <row r="19" customFormat="false" ht="15" hidden="false" customHeight="false" outlineLevel="0" collapsed="false">
      <c r="A19" s="11" t="n">
        <v>16</v>
      </c>
      <c r="B19" s="11" t="s">
        <v>429</v>
      </c>
      <c r="C19" s="10" t="s">
        <v>430</v>
      </c>
      <c r="D19" s="11" t="s">
        <v>431</v>
      </c>
      <c r="E19" s="11" t="s">
        <v>432</v>
      </c>
      <c r="F19" s="11" t="s">
        <v>416</v>
      </c>
      <c r="G19" s="11" t="s">
        <v>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2026-10-24T13:51:12Z</dcterms:created>
  <dc:creator>openpyxl</dc:creator>
  <dc:description/>
  <dc:language>en-US</dc:language>
  <cp:lastModifiedBy/>
  <dcterms:modified xsi:type="dcterms:W3CDTF">2026-10-24T13:51:13Z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